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A\SOST\Segurança Do Trabalho\Investigação de Acidentes\CAT\"/>
    </mc:Choice>
  </mc:AlternateContent>
  <xr:revisionPtr revIDLastSave="0" documentId="13_ncr:1_{1B55BE32-A19B-41B5-94B3-942EA96CB8B7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Relatórios_CAT" sheetId="1" r:id="rId1"/>
    <sheet name="Planilha 2026" sheetId="2" r:id="rId2"/>
  </sheets>
  <definedNames>
    <definedName name="_xlnm.Print_Area" localSheetId="1">'Planilha 2026'!$U$103:$AJ$195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26" i="2" l="1"/>
  <c r="P326" i="2"/>
  <c r="N326" i="2"/>
  <c r="L326" i="2"/>
  <c r="J326" i="2"/>
  <c r="H326" i="2"/>
  <c r="F326" i="2"/>
  <c r="D326" i="2"/>
  <c r="B326" i="2"/>
  <c r="R292" i="2"/>
  <c r="P288" i="2"/>
  <c r="N288" i="2"/>
  <c r="L288" i="2"/>
  <c r="J288" i="2"/>
  <c r="H288" i="2"/>
  <c r="F288" i="2"/>
  <c r="D288" i="2"/>
  <c r="B288" i="2"/>
  <c r="Q280" i="2"/>
  <c r="W270" i="2"/>
  <c r="V273" i="2" s="1"/>
  <c r="Z265" i="2"/>
  <c r="Z264" i="2"/>
  <c r="Q264" i="2"/>
  <c r="Z263" i="2"/>
  <c r="Z262" i="2"/>
  <c r="Z261" i="2"/>
  <c r="Z260" i="2"/>
  <c r="Q260" i="2"/>
  <c r="Q288" i="2" s="1"/>
  <c r="R259" i="2" s="1"/>
  <c r="Z259" i="2"/>
  <c r="Z258" i="2"/>
  <c r="Z257" i="2"/>
  <c r="Z256" i="2"/>
  <c r="Z270" i="2" s="1"/>
  <c r="P255" i="2"/>
  <c r="N255" i="2"/>
  <c r="L255" i="2"/>
  <c r="J255" i="2"/>
  <c r="H255" i="2"/>
  <c r="F255" i="2"/>
  <c r="D255" i="2"/>
  <c r="B255" i="2"/>
  <c r="AA245" i="2"/>
  <c r="AK244" i="2"/>
  <c r="AF244" i="2"/>
  <c r="AK243" i="2"/>
  <c r="AF243" i="2"/>
  <c r="AK242" i="2"/>
  <c r="AK245" i="2" s="1"/>
  <c r="AF242" i="2"/>
  <c r="AF246" i="2" s="1"/>
  <c r="AF238" i="2"/>
  <c r="AF235" i="2"/>
  <c r="AE235" i="2"/>
  <c r="AD235" i="2"/>
  <c r="AC235" i="2"/>
  <c r="AB235" i="2"/>
  <c r="AA235" i="2"/>
  <c r="Z235" i="2"/>
  <c r="Y235" i="2"/>
  <c r="X235" i="2"/>
  <c r="W235" i="2"/>
  <c r="V235" i="2"/>
  <c r="AI235" i="2" s="1"/>
  <c r="AI234" i="2"/>
  <c r="AI233" i="2"/>
  <c r="AI232" i="2"/>
  <c r="AI231" i="2"/>
  <c r="AI230" i="2"/>
  <c r="Q230" i="2"/>
  <c r="AI229" i="2"/>
  <c r="AI228" i="2"/>
  <c r="AI227" i="2"/>
  <c r="AI226" i="2"/>
  <c r="AI225" i="2"/>
  <c r="Q225" i="2"/>
  <c r="AI224" i="2"/>
  <c r="AI223" i="2"/>
  <c r="AI222" i="2"/>
  <c r="Q222" i="2"/>
  <c r="Q255" i="2" s="1"/>
  <c r="R222" i="2" s="1"/>
  <c r="AI221" i="2"/>
  <c r="AI220" i="2"/>
  <c r="AI219" i="2"/>
  <c r="AI218" i="2"/>
  <c r="AK235" i="2" s="1"/>
  <c r="Q218" i="2"/>
  <c r="R190" i="2" s="1"/>
  <c r="P218" i="2"/>
  <c r="N218" i="2"/>
  <c r="L218" i="2"/>
  <c r="J218" i="2"/>
  <c r="H218" i="2"/>
  <c r="F218" i="2"/>
  <c r="D218" i="2"/>
  <c r="B218" i="2"/>
  <c r="AI217" i="2"/>
  <c r="AI216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P186" i="2"/>
  <c r="N186" i="2"/>
  <c r="L186" i="2"/>
  <c r="J186" i="2"/>
  <c r="H186" i="2"/>
  <c r="F186" i="2"/>
  <c r="D186" i="2"/>
  <c r="B186" i="2"/>
  <c r="AI185" i="2"/>
  <c r="AI184" i="2"/>
  <c r="AI183" i="2"/>
  <c r="AI182" i="2"/>
  <c r="AI181" i="2"/>
  <c r="AI180" i="2"/>
  <c r="AI179" i="2"/>
  <c r="AI178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AI177" i="2" s="1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Q165" i="2"/>
  <c r="Q186" i="2" s="1"/>
  <c r="R161" i="2" s="1"/>
  <c r="AI164" i="2"/>
  <c r="AI163" i="2"/>
  <c r="AI162" i="2"/>
  <c r="AI161" i="2"/>
  <c r="AI160" i="2"/>
  <c r="AI159" i="2"/>
  <c r="AI158" i="2"/>
  <c r="AI157" i="2"/>
  <c r="AK177" i="2" s="1"/>
  <c r="Q157" i="2"/>
  <c r="P157" i="2"/>
  <c r="N157" i="2"/>
  <c r="L157" i="2"/>
  <c r="J157" i="2"/>
  <c r="H157" i="2"/>
  <c r="F157" i="2"/>
  <c r="D157" i="2"/>
  <c r="B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O135" i="2"/>
  <c r="AI135" i="2"/>
  <c r="AI134" i="2"/>
  <c r="R134" i="2"/>
  <c r="AI133" i="2"/>
  <c r="AM135" i="2" s="1"/>
  <c r="AO132" i="2"/>
  <c r="AI132" i="2"/>
  <c r="AI131" i="2"/>
  <c r="AM132" i="2" s="1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AI130" i="2" s="1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P115" i="2"/>
  <c r="N115" i="2"/>
  <c r="L115" i="2"/>
  <c r="J115" i="2"/>
  <c r="H115" i="2"/>
  <c r="F115" i="2"/>
  <c r="D115" i="2"/>
  <c r="B115" i="2"/>
  <c r="AI114" i="2"/>
  <c r="AI113" i="2"/>
  <c r="AI112" i="2"/>
  <c r="AI111" i="2"/>
  <c r="AI110" i="2"/>
  <c r="AI109" i="2"/>
  <c r="AI108" i="2"/>
  <c r="AI107" i="2"/>
  <c r="AI106" i="2"/>
  <c r="AK130" i="2" s="1"/>
  <c r="AI105" i="2"/>
  <c r="AI104" i="2"/>
  <c r="R102" i="2"/>
  <c r="P99" i="2"/>
  <c r="N99" i="2"/>
  <c r="J99" i="2"/>
  <c r="H99" i="2"/>
  <c r="F99" i="2"/>
  <c r="R81" i="2"/>
  <c r="F78" i="2"/>
  <c r="R65" i="2"/>
  <c r="F60" i="2"/>
  <c r="R48" i="2"/>
  <c r="F45" i="2"/>
  <c r="R33" i="2"/>
  <c r="F30" i="2"/>
  <c r="R18" i="2"/>
  <c r="F15" i="2"/>
  <c r="R3" i="2"/>
  <c r="B386" i="1"/>
  <c r="R383" i="1"/>
  <c r="R382" i="1"/>
  <c r="R381" i="1"/>
  <c r="O381" i="1"/>
  <c r="J381" i="1"/>
  <c r="H381" i="1"/>
  <c r="R380" i="1"/>
  <c r="O380" i="1"/>
  <c r="R379" i="1"/>
  <c r="O379" i="1"/>
  <c r="R378" i="1"/>
  <c r="O378" i="1"/>
  <c r="C378" i="1"/>
  <c r="R377" i="1"/>
  <c r="O377" i="1"/>
  <c r="R376" i="1"/>
  <c r="O376" i="1"/>
  <c r="W279" i="1"/>
  <c r="W156" i="1"/>
  <c r="W152" i="1"/>
  <c r="W125" i="1"/>
  <c r="W122" i="1"/>
  <c r="W121" i="1"/>
  <c r="W120" i="1"/>
  <c r="W119" i="1"/>
  <c r="W118" i="1"/>
  <c r="W117" i="1"/>
  <c r="W116" i="1"/>
  <c r="W113" i="1"/>
  <c r="W111" i="1"/>
  <c r="W110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59" i="1"/>
  <c r="W10" i="1"/>
  <c r="W9" i="1"/>
  <c r="P382" i="1" l="1"/>
  <c r="P384" i="1" s="1"/>
  <c r="AJ104" i="2"/>
  <c r="AK104" i="2" s="1"/>
  <c r="AK105" i="2" l="1"/>
  <c r="AN106" i="2"/>
  <c r="AN10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55" authorId="0" shapeId="0" xr:uid="{00000000-0006-0000-0000-000001000000}">
      <text>
        <r>
          <rPr>
            <sz val="11"/>
            <color rgb="FF000000"/>
            <rFont val="Liberation Sans1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correção da data do acidente</t>
        </r>
      </text>
    </comment>
    <comment ref="J356" authorId="0" shapeId="0" xr:uid="{00000000-0006-0000-0000-000002000000}">
      <text>
        <r>
          <rPr>
            <sz val="11"/>
            <color rgb="FF000000"/>
            <rFont val="Liberation Sans1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correção da data do acidente</t>
        </r>
      </text>
    </comment>
  </commentList>
</comments>
</file>

<file path=xl/sharedStrings.xml><?xml version="1.0" encoding="utf-8"?>
<sst xmlns="http://schemas.openxmlformats.org/spreadsheetml/2006/main" count="6715" uniqueCount="1952">
  <si>
    <t>Nº do Relatório</t>
  </si>
  <si>
    <t>Empresa</t>
  </si>
  <si>
    <t>Nº da CAT</t>
  </si>
  <si>
    <t>Vitima(s) do Acidente</t>
  </si>
  <si>
    <t>Sexo</t>
  </si>
  <si>
    <t>Função</t>
  </si>
  <si>
    <t>Mês</t>
  </si>
  <si>
    <t>Setor</t>
  </si>
  <si>
    <t>Lotação do Funcionário</t>
  </si>
  <si>
    <t>Data do Acidente</t>
  </si>
  <si>
    <t>Ano de Emissão</t>
  </si>
  <si>
    <t>Data de emissão</t>
  </si>
  <si>
    <t>Hora do Acidente</t>
  </si>
  <si>
    <t>Parte do Corpo Atingida</t>
  </si>
  <si>
    <t>Agente Causador</t>
  </si>
  <si>
    <t>Tipo do Acidente</t>
  </si>
  <si>
    <t>CID</t>
  </si>
  <si>
    <t>Dias Afastado</t>
  </si>
  <si>
    <t>Setor destinatário</t>
  </si>
  <si>
    <t>Assunto</t>
  </si>
  <si>
    <t>CI Atrelada/ SEI</t>
  </si>
  <si>
    <t>Prazo Para Resposta</t>
  </si>
  <si>
    <t>Prazo Restante</t>
  </si>
  <si>
    <t>Situação</t>
  </si>
  <si>
    <t>Observações</t>
  </si>
  <si>
    <t>EBSERH</t>
  </si>
  <si>
    <t>2014.390.671-2/01</t>
  </si>
  <si>
    <t>Eduardo Domingos Almeida</t>
  </si>
  <si>
    <t>M</t>
  </si>
  <si>
    <t>Técnico (a) de Enfermagem</t>
  </si>
  <si>
    <t>Agosto</t>
  </si>
  <si>
    <t>Endoscopia</t>
  </si>
  <si>
    <t>Olhos</t>
  </si>
  <si>
    <t>Substância Química NIC</t>
  </si>
  <si>
    <t>Típico</t>
  </si>
  <si>
    <t>Z20.9</t>
  </si>
  <si>
    <t>Não foi necessário</t>
  </si>
  <si>
    <t>NA</t>
  </si>
  <si>
    <t>Arquivar</t>
  </si>
  <si>
    <t>2014.415.230-4/01</t>
  </si>
  <si>
    <t>Adonis Brasil Nascimento</t>
  </si>
  <si>
    <t>Outubro</t>
  </si>
  <si>
    <t>Refeitório</t>
  </si>
  <si>
    <t>Joelho</t>
  </si>
  <si>
    <t>Líquido NIC</t>
  </si>
  <si>
    <t>W01</t>
  </si>
  <si>
    <t>PNE</t>
  </si>
  <si>
    <t>2014.431.624-2/01</t>
  </si>
  <si>
    <t>Zilda Maria Da Silva</t>
  </si>
  <si>
    <t>F</t>
  </si>
  <si>
    <t>Setembro</t>
  </si>
  <si>
    <t>Centro Cirúrgico</t>
  </si>
  <si>
    <t>Cabeça NIC</t>
  </si>
  <si>
    <t>Veículo NIC</t>
  </si>
  <si>
    <t>2014.497.659-5/01</t>
  </si>
  <si>
    <t>Lourivan De Oliveira Santana</t>
  </si>
  <si>
    <t>Novembro</t>
  </si>
  <si>
    <t>Psiquiatria</t>
  </si>
  <si>
    <t>Antebraço</t>
  </si>
  <si>
    <t>Mobiliário</t>
  </si>
  <si>
    <t>W20.2</t>
  </si>
  <si>
    <t>2014.500.837-1/01</t>
  </si>
  <si>
    <t>Viviane Pereira Barreto</t>
  </si>
  <si>
    <t>CME</t>
  </si>
  <si>
    <t>Dedo</t>
  </si>
  <si>
    <t>Ferramenta Manual Sem Força Motriz NIC</t>
  </si>
  <si>
    <t>S61.0</t>
  </si>
  <si>
    <t>2014.550.487-5/01</t>
  </si>
  <si>
    <t>Joseane Ferreira</t>
  </si>
  <si>
    <t>Técnico(a) de Laboratório De Análises Clínicas</t>
  </si>
  <si>
    <t>Dezembro</t>
  </si>
  <si>
    <t>UTI</t>
  </si>
  <si>
    <t>2015.052.210-0/01</t>
  </si>
  <si>
    <t>Ismael Almeida Santos</t>
  </si>
  <si>
    <t>Técnico(a) de Enfermagem</t>
  </si>
  <si>
    <t>Fevereiro</t>
  </si>
  <si>
    <t>Clínica Médica I</t>
  </si>
  <si>
    <t>Olho Direito</t>
  </si>
  <si>
    <t>Sangue</t>
  </si>
  <si>
    <t>2015.232.550-6/01</t>
  </si>
  <si>
    <t>Alexandre Rodrigues Repinaldo</t>
  </si>
  <si>
    <t>Fisioterapeuta</t>
  </si>
  <si>
    <t>Junho</t>
  </si>
  <si>
    <t>Unidade de Reabilitação</t>
  </si>
  <si>
    <t>Punho</t>
  </si>
  <si>
    <t>Alavanca</t>
  </si>
  <si>
    <t>M65.4</t>
  </si>
  <si>
    <t>Solicitação de rearranjo de maca ou substituição por uma elétrica.</t>
  </si>
  <si>
    <t>Despacho direto</t>
  </si>
  <si>
    <t>Atendida</t>
  </si>
  <si>
    <t>A maca teve sua posição invertida.</t>
  </si>
  <si>
    <t>2015.233.475-0/01</t>
  </si>
  <si>
    <t>Suely Farias Souza Cunha</t>
  </si>
  <si>
    <t>Substância Química</t>
  </si>
  <si>
    <t>H10</t>
  </si>
  <si>
    <t>Solicitação de melhoria no galão ou substituição por equipamento mais adequado; e fornecimento, instrução, e cobrança do uso do óculos de segurança aos funcionários.</t>
  </si>
  <si>
    <t>Atendida em parte.</t>
  </si>
  <si>
    <t>Foram realizadas orientações, pelo chefe do setor, para utilização dos óculos de Segurança e também desta obrigatoriedade. O Galão não sofreu mudanças, visto que não houve disponibilidade de equipamento para isto.</t>
  </si>
  <si>
    <t>2016.294388-1/01</t>
  </si>
  <si>
    <t>José João da Silva</t>
  </si>
  <si>
    <t>Ambulância do Hospital</t>
  </si>
  <si>
    <t>Coluna</t>
  </si>
  <si>
    <t>Esforço Excessivo</t>
  </si>
  <si>
    <t>Tipico</t>
  </si>
  <si>
    <t>M54.5</t>
  </si>
  <si>
    <t>2015.416.718-5/01</t>
  </si>
  <si>
    <t>Josefa Almeida Dos Santos</t>
  </si>
  <si>
    <t>Clínica Cirúrgica II</t>
  </si>
  <si>
    <t>Soro com Sangue</t>
  </si>
  <si>
    <t>Fornecidos óculos de segurança e fornecida orientação aos funcionários do setor.</t>
  </si>
  <si>
    <t>2015.462.226-5/01</t>
  </si>
  <si>
    <t>Karla Andrade Cerqueira</t>
  </si>
  <si>
    <t>Clínica Médica II</t>
  </si>
  <si>
    <t>Z04.2</t>
  </si>
  <si>
    <t>2015.501.970-8/01</t>
  </si>
  <si>
    <t>Geanne Maria Holanda de Menezes</t>
  </si>
  <si>
    <t>Médico(a) Ecocardiografista</t>
  </si>
  <si>
    <t>UIMG</t>
  </si>
  <si>
    <t>Artelho</t>
  </si>
  <si>
    <t>Calçada</t>
  </si>
  <si>
    <t>S92.5</t>
  </si>
  <si>
    <t>2016.016.790-6/01</t>
  </si>
  <si>
    <t>Cláudio Santos Silva</t>
  </si>
  <si>
    <t>Técnico de Enfermagem</t>
  </si>
  <si>
    <t>Janeiro</t>
  </si>
  <si>
    <t>Mão</t>
  </si>
  <si>
    <t>Cone</t>
  </si>
  <si>
    <t>S61.8</t>
  </si>
  <si>
    <t>2016.075.138-1/01</t>
  </si>
  <si>
    <t>Alexandre Souza Costa</t>
  </si>
  <si>
    <t>X59</t>
  </si>
  <si>
    <t>Divisão de Enfermagem</t>
  </si>
  <si>
    <t>2016.116.042-5/01</t>
  </si>
  <si>
    <t>Flávia Melissa Bezerra Brasil</t>
  </si>
  <si>
    <t>Março</t>
  </si>
  <si>
    <t>Pediatria</t>
  </si>
  <si>
    <t>Dedo indicador esquerdo</t>
  </si>
  <si>
    <t>1- Solicitar providências para estabelecimento de local próprio (sala isolada) para realização de procedimentos invasivos nos pacientes da enfermaria pediátrica. Sugere-se adequar o espaço da enfermaria 1, com instalação de porta, lavatório, caixa de perfuro cortantes, maca e bancada para preparo dos insumos a serem administrados nos pacientes; 2- Solicitar disponibilização de bandeja exclusiva para colocação e transporte das seringas com agulhas do posto de enfermagem até o local onde os pacientes estiverem e deste para o posto de enfermagem para depositar nas caixas coletoras de perfurocortantes.</t>
  </si>
  <si>
    <t>2016.119.248-3/01</t>
  </si>
  <si>
    <t>Suzana Ramos Pereira</t>
  </si>
  <si>
    <t>Assistente administrativa</t>
  </si>
  <si>
    <t>UNILI</t>
  </si>
  <si>
    <t>Pé direito</t>
  </si>
  <si>
    <t>Calçada irregular</t>
  </si>
  <si>
    <t>Trajeto</t>
  </si>
  <si>
    <t>S92.3</t>
  </si>
  <si>
    <t>2016.154.890-3/01</t>
  </si>
  <si>
    <t>Tatiana Rezende Lima</t>
  </si>
  <si>
    <t>Enfermeira</t>
  </si>
  <si>
    <t>Abril</t>
  </si>
  <si>
    <t>2016.208.402-1/01</t>
  </si>
  <si>
    <t>Técnica de Enfermagem</t>
  </si>
  <si>
    <t>2016.224.230-1/01</t>
  </si>
  <si>
    <t>Adriana Fontes Mendonça de Melo</t>
  </si>
  <si>
    <t>2016.262.290-2/01</t>
  </si>
  <si>
    <t>Brenda Souza de Moraes Costa</t>
  </si>
  <si>
    <t>Médica</t>
  </si>
  <si>
    <t>Julho</t>
  </si>
  <si>
    <t>2016.267.645-0/01</t>
  </si>
  <si>
    <t>Thiago Matheus Reis De Souza D. Rodrigues</t>
  </si>
  <si>
    <t>Técnico de Laboratório</t>
  </si>
  <si>
    <t>2016.281.091-1/01</t>
  </si>
  <si>
    <t>Patrícia Farias Sá Espinheira</t>
  </si>
  <si>
    <t>2016.323.620-8/01</t>
  </si>
  <si>
    <t>Ivaneide Fagundes Do Nascimento Pereira</t>
  </si>
  <si>
    <t>2016.338.795-8/01</t>
  </si>
  <si>
    <t>Rafael Martins Albergaria Da Silva</t>
  </si>
  <si>
    <t>Médico – Cirurgião Geral</t>
  </si>
  <si>
    <t>2016.381.679-4/01</t>
  </si>
  <si>
    <t>Bruno Nicolini Gomes</t>
  </si>
  <si>
    <t>Analista de Redes</t>
  </si>
  <si>
    <t>SGPTI</t>
  </si>
  <si>
    <t>Nível</t>
  </si>
  <si>
    <t>S93.4</t>
  </si>
  <si>
    <t>2016.385.209-0/01</t>
  </si>
  <si>
    <t>Suely Tatiana Alves Dos Santos</t>
  </si>
  <si>
    <t>Ombro</t>
  </si>
  <si>
    <t>Porta com Mola</t>
  </si>
  <si>
    <t>Já havia sido emitida CI solicitando manutenção ou retirada da mola e o problema foi sanado no dia 11/10/2016.</t>
  </si>
  <si>
    <t>2016.385.384-3/01</t>
  </si>
  <si>
    <t>Fábio Batista Araújo</t>
  </si>
  <si>
    <t>Lombar</t>
  </si>
  <si>
    <t>Colisão de Veículo Com Animal</t>
  </si>
  <si>
    <t>2016.385.564-1/01</t>
  </si>
  <si>
    <t>Ilma Dos Santos Viana</t>
  </si>
  <si>
    <t>Médico – Cirurgião Vascular</t>
  </si>
  <si>
    <t>Bisturi com sangue</t>
  </si>
  <si>
    <t>2016.391.677-2/01</t>
  </si>
  <si>
    <t>Escoriações em membros Superiores e Inferiores</t>
  </si>
  <si>
    <t>Colisão entre veículos</t>
  </si>
  <si>
    <t>T11.1</t>
  </si>
  <si>
    <t>2016.396.001-1/01</t>
  </si>
  <si>
    <t>Ana Paula Andrade Reinoso</t>
  </si>
  <si>
    <t>UDI</t>
  </si>
  <si>
    <t>Contato com Fluidos orgânicos (Secreção retal)</t>
  </si>
  <si>
    <t>2016.396.440-8/01</t>
  </si>
  <si>
    <t>Nivia Abigail Azevedo Nascimento Da Silva</t>
  </si>
  <si>
    <t>Braço (Ombro) e Cabeça (cabelos)</t>
  </si>
  <si>
    <t>Agressão de Paciente</t>
  </si>
  <si>
    <t>T75.8</t>
  </si>
  <si>
    <t>2016.422.528-5/01</t>
  </si>
  <si>
    <t>Gylmara Maia Barreto</t>
  </si>
  <si>
    <t>Seringa Para Insulina com Agulha</t>
  </si>
  <si>
    <t>Solicitado a proibição do reencape manual de agulhas.</t>
  </si>
  <si>
    <t>167/2016</t>
  </si>
  <si>
    <t>Procedimento de reencape será executado pelo próprio paciente, segundo informações da Coordenação de Enfermagem.</t>
  </si>
  <si>
    <t>2016.447.967-8/01</t>
  </si>
  <si>
    <t>Rosana Almeida Bezerra</t>
  </si>
  <si>
    <t>Clínica Cirúrgica 1</t>
  </si>
  <si>
    <t>Mão Direita</t>
  </si>
  <si>
    <t>Divisão de Enfermagem e Divisão Médica</t>
  </si>
  <si>
    <t>Solicitação de procedimento de retração da lâmina de bisturi, junto ao cabo, para evitar acidentes.</t>
  </si>
  <si>
    <t>179/2016</t>
  </si>
  <si>
    <t>Medidas foram adotadas.</t>
  </si>
  <si>
    <t>2016.466.125-5/01</t>
  </si>
  <si>
    <t>Vivianne Pereira Barreto</t>
  </si>
  <si>
    <t>Equipamento médico</t>
  </si>
  <si>
    <t>Serão fornecidas luvas nitrílicas aos funcionários do setor.</t>
  </si>
  <si>
    <t>2016.486.728-7/01</t>
  </si>
  <si>
    <t>Patrícia Fonseca Mendonça Silva</t>
  </si>
  <si>
    <t>Hotelaria</t>
  </si>
  <si>
    <t>Pé</t>
  </si>
  <si>
    <t>Escada</t>
  </si>
  <si>
    <t>Há licitação para adequação das escadarias do hospital em andamento.</t>
  </si>
  <si>
    <t>2017.033.053-2/01</t>
  </si>
  <si>
    <t>Vanessa Da Conceição Santos</t>
  </si>
  <si>
    <t>Pediatria - Internamento</t>
  </si>
  <si>
    <t>Acesso venoso</t>
  </si>
  <si>
    <t>2017.093.174-9/01</t>
  </si>
  <si>
    <t>Felipe Souza Vieira</t>
  </si>
  <si>
    <t>Assistente administrativo</t>
  </si>
  <si>
    <t>UNIPAT</t>
  </si>
  <si>
    <t>Equipamento oxidado</t>
  </si>
  <si>
    <t>Administrada vacina DT nos membros da UNIPAT.</t>
  </si>
  <si>
    <t>2017.135.948-8/01</t>
  </si>
  <si>
    <t>Margarida Da Conceição Borges</t>
  </si>
  <si>
    <t>Ciclomotor</t>
  </si>
  <si>
    <t>S50.9</t>
  </si>
  <si>
    <t>2017.152.603-1/01</t>
  </si>
  <si>
    <t>Paulo Vicente Dos Santos Filho</t>
  </si>
  <si>
    <t>Agulha</t>
  </si>
  <si>
    <t>2017.167.966-0/01</t>
  </si>
  <si>
    <t>Rodrigo Domingos Pinto Lotierzo</t>
  </si>
  <si>
    <t>Analista De Tecnologia Da Informação - Suportes e Redes</t>
  </si>
  <si>
    <t>Maio</t>
  </si>
  <si>
    <t>Viga</t>
  </si>
  <si>
    <t>S00.0</t>
  </si>
  <si>
    <t>DIVGP/DLIH</t>
  </si>
  <si>
    <t>Solicitação de fornecimento de capacetes aos visitantes das obras.</t>
  </si>
  <si>
    <t>2017.219.622-1/01</t>
  </si>
  <si>
    <t>Cadeira</t>
  </si>
  <si>
    <t>M54.4</t>
  </si>
  <si>
    <t>DIVGP/UIMG</t>
  </si>
  <si>
    <t>Solicitação de substituição das cadeiras que os trabalhadores utilizam (fixas) por outras ergonomicamente corretas.</t>
  </si>
  <si>
    <t>2017.248.820-6/01</t>
  </si>
  <si>
    <t>Gilvaneide Santos Dos Anjos</t>
  </si>
  <si>
    <t>Técnica de Patologia</t>
  </si>
  <si>
    <t>Laboratório de Análises Clínicas</t>
  </si>
  <si>
    <t>Seringa</t>
  </si>
  <si>
    <t>2017.299.190-0/01</t>
  </si>
  <si>
    <t>Partes múltiplas</t>
  </si>
  <si>
    <t>T07</t>
  </si>
  <si>
    <t>160/2017</t>
  </si>
  <si>
    <t>Respostado com informação de que cadeira está sendo licitada.</t>
  </si>
  <si>
    <t>2017.328.948-7/01</t>
  </si>
  <si>
    <t>Ana Neusa Santos</t>
  </si>
  <si>
    <t>Cabo elétrico de cama hospitalar</t>
  </si>
  <si>
    <t>S82.6</t>
  </si>
  <si>
    <t>2017.361.123-0/01</t>
  </si>
  <si>
    <t>Valdjane Nogueira Noleto Nobre</t>
  </si>
  <si>
    <t>Longarina</t>
  </si>
  <si>
    <t>M79.1</t>
  </si>
  <si>
    <t>DIVGP/Hotelaria</t>
  </si>
  <si>
    <t>Solicitação de remoção da longarina danificada e colocá-la em desuso até a sua manutenção ou substituí-la definitivamente por outra em perfeito estado de uso e conservação. E, ainda, realização de inspeção nas demais para verificação das condições de conservação e de possíveis necessidades de manutenção ou substituição das destas.</t>
  </si>
  <si>
    <t>192/2017</t>
  </si>
  <si>
    <t>3 dias</t>
  </si>
  <si>
    <t>Respostado em 10/10/2017. Hotelaria comunica que a longarina foi recolhida e que há processo licitatório em andamento para aquisição de novas longarinas (23530000414/2017-01).</t>
  </si>
  <si>
    <t>2017.375.609-3/01</t>
  </si>
  <si>
    <t>Y96</t>
  </si>
  <si>
    <t>2017.405.303-7/01</t>
  </si>
  <si>
    <t>Raimundo Renato Carvalho</t>
  </si>
  <si>
    <t>2017.405.554-4/01</t>
  </si>
  <si>
    <t>Lorena Marçal Costa Argolo</t>
  </si>
  <si>
    <t>Flanco direito</t>
  </si>
  <si>
    <t>2017.440.477-8/01</t>
  </si>
  <si>
    <t>Priscila De Castro Smith</t>
  </si>
  <si>
    <t>Médica Gastroenterologista</t>
  </si>
  <si>
    <t>Ambulatório</t>
  </si>
  <si>
    <t>Fechadura da Porta</t>
  </si>
  <si>
    <t>A chefia foi comunicada verbalmente para procurar o serviço de manutenção e providenciar a substituição da maçaneta da porta. Tal procedimento foi adotado imediatamente.</t>
  </si>
  <si>
    <t>2017.453.685-2/01</t>
  </si>
  <si>
    <t>Leide Dayane Barbosa Da Silva</t>
  </si>
  <si>
    <t>DIVGP</t>
  </si>
  <si>
    <t>Emitida CI 242/2017 com solicitação de emissão de memorando circular para todas as chefias deste HU-UFS/EBSERH.</t>
  </si>
  <si>
    <t>242/2017</t>
  </si>
  <si>
    <t>2017.457.353-7/01</t>
  </si>
  <si>
    <t>Maria Virginia Da Silva Santos</t>
  </si>
  <si>
    <t>Motocicleta</t>
  </si>
  <si>
    <t>S90.0</t>
  </si>
  <si>
    <t>2017.470.893-9/01</t>
  </si>
  <si>
    <t>Juliana Dantas Andrade</t>
  </si>
  <si>
    <t>Traqueia do traqueóstomo</t>
  </si>
  <si>
    <t>Preparando treinamentos periódicos. A funcionára foi orientada, novamente, a não realizar procedimentos com pacientes sem a devida utilização dos EPIs necessários para sua segurança.</t>
  </si>
  <si>
    <t>2017.473.408-5/01</t>
  </si>
  <si>
    <t>Patrícia Lins Da Silva</t>
  </si>
  <si>
    <t>Terapeuta Ocupacional</t>
  </si>
  <si>
    <t>Cuspida de Paciente</t>
  </si>
  <si>
    <t>DIVGP/Gerência de Atenção a Saúde</t>
  </si>
  <si>
    <t>Emitida CI 254/2017/SOST com solicitação de realização de sorologia para HIV e Hepatites antes da admissão de pacientes para que possamos ter esses dados facilmente em casos de riscos de contaminação dos trabalhadores nesta unidade.</t>
  </si>
  <si>
    <t>254/2017</t>
  </si>
  <si>
    <t>Acompanhar</t>
  </si>
  <si>
    <t>PLANSEL</t>
  </si>
  <si>
    <t>2018.013.987-8/01</t>
  </si>
  <si>
    <t>Sayane De Almeida Santos</t>
  </si>
  <si>
    <t>Aux. De Serviços Gerais</t>
  </si>
  <si>
    <t>Higienização</t>
  </si>
  <si>
    <t>Prego</t>
  </si>
  <si>
    <t>M62.9</t>
  </si>
  <si>
    <t>2018.020.127-1/01</t>
  </si>
  <si>
    <t>Graziella Santana Ramos</t>
  </si>
  <si>
    <t>Hospital</t>
  </si>
  <si>
    <t>Já estão sendo adotadas medidas.</t>
  </si>
  <si>
    <t>2018.020.393-2/01</t>
  </si>
  <si>
    <t>Maria Nazaré Araújo De Jesus</t>
  </si>
  <si>
    <t>Pediatria Internamento</t>
  </si>
  <si>
    <t>Coluna e braço</t>
  </si>
  <si>
    <t>DIVGP/Patrimônio</t>
  </si>
  <si>
    <t>Solicitação de medidas decorrentes de acidente de trabalho ocorrido com funcionária do setor de pediatria do prédio do internamento.</t>
  </si>
  <si>
    <t>14/2018</t>
  </si>
  <si>
    <t>2018.020.898-5/01</t>
  </si>
  <si>
    <t>Cidália Gomes Santos Gois</t>
  </si>
  <si>
    <t>Solicitação de medidas (retomada do fornecimento de lancetas) decorrentes de acidente de trabalho ocorrido com funcionária na enfermaria da Clínica Médica 2 por falta de lancetas (não estão sendo fornecidas).</t>
  </si>
  <si>
    <t>15/2018</t>
  </si>
  <si>
    <t>Atendida.</t>
  </si>
  <si>
    <t>2018.043.344-0/01</t>
  </si>
  <si>
    <t>UDI - 1º andar (prédio internamento)</t>
  </si>
  <si>
    <t>Face Direita</t>
  </si>
  <si>
    <t>Cama Clínica</t>
  </si>
  <si>
    <t>2018.058.104-0/01</t>
  </si>
  <si>
    <t>Viviane Couvo Teixeira Maia</t>
  </si>
  <si>
    <t>Mãos e joelhos</t>
  </si>
  <si>
    <t>Chão (tachão)</t>
  </si>
  <si>
    <t>S81.0</t>
  </si>
  <si>
    <t>Solicitação de adoção de medidas (faixa de pedestres, pintura de taxões, melhoria da iluminação)</t>
  </si>
  <si>
    <t>46/2018</t>
  </si>
  <si>
    <t>Melhorias em andamento.</t>
  </si>
  <si>
    <t>2018.088.102-7/01</t>
  </si>
  <si>
    <t>Erivânio Simplício Da Silva</t>
  </si>
  <si>
    <t>Técnico em Enfermagem</t>
  </si>
  <si>
    <t>DIVGP/Ambulatório</t>
  </si>
  <si>
    <t>Solicitação de adoção de medidas (Alteração de local de instalação do coletor de perfuro cortantes)</t>
  </si>
  <si>
    <t>75/2018</t>
  </si>
  <si>
    <t>2018.170.862-0/01</t>
  </si>
  <si>
    <t>Kelly Franciane Lima Alves</t>
  </si>
  <si>
    <t>Olho</t>
  </si>
  <si>
    <t>Relizar medida de educação continuada para todos os trabalhadores. Foi inserida matéria educativa no boletim informativo para concientizar a respeito do uso do óculos de proteção.</t>
  </si>
  <si>
    <t>2018.142.606-4/01</t>
  </si>
  <si>
    <t>Flavia Cristina Santos Silva</t>
  </si>
  <si>
    <t>Técnica em Enfermagem</t>
  </si>
  <si>
    <t>Contato com o paciente infectado pelo parasita Sarcoptes scabiei</t>
  </si>
  <si>
    <t>B86.0</t>
  </si>
  <si>
    <t>2018.143.716-3/01</t>
  </si>
  <si>
    <t>Flavia Melissa Bezerra Brasil</t>
  </si>
  <si>
    <t>2018.143.848-8/01</t>
  </si>
  <si>
    <t>Mafilza Silva Gomes</t>
  </si>
  <si>
    <t>2018.175.911-0/01</t>
  </si>
  <si>
    <t>Maria Virginia da Silva Santos</t>
  </si>
  <si>
    <t>B86.1</t>
  </si>
  <si>
    <t>2018.215.369-0/01</t>
  </si>
  <si>
    <t>Marcus Vinícius Santos Neri</t>
  </si>
  <si>
    <t>Unidade de Arquivos e Prontuários</t>
  </si>
  <si>
    <t>Grampo de papel</t>
  </si>
  <si>
    <t>Solicitação de remoção dos grampos de papel antes do recolhimento por profissionais do setor de prontuários.</t>
  </si>
  <si>
    <t>08/2018</t>
  </si>
  <si>
    <t>2018.227.608-2/01</t>
  </si>
  <si>
    <t>Juciara Almeida Santos</t>
  </si>
  <si>
    <t>mão direita</t>
  </si>
  <si>
    <t>Mandril do Trocáter</t>
  </si>
  <si>
    <t>Não necessário</t>
  </si>
  <si>
    <t>Plansel</t>
  </si>
  <si>
    <t>2018.244.431-7/01</t>
  </si>
  <si>
    <t>Maria Jarlene da Cruz Ferreira</t>
  </si>
  <si>
    <t>Aux. Serv. Gerais</t>
  </si>
  <si>
    <t>14:00 PM</t>
  </si>
  <si>
    <t>Queda de material (Placa de Gesso)sob a cabeça</t>
  </si>
  <si>
    <t>2018.254.434-6/01</t>
  </si>
  <si>
    <t>Jose Bastos de Oliveira Silva</t>
  </si>
  <si>
    <t>Unidade de vigilância e Saúde</t>
  </si>
  <si>
    <t>2018.273.099-9/01</t>
  </si>
  <si>
    <t>Rubem Furtado Ferreira</t>
  </si>
  <si>
    <t>Enefermeiro</t>
  </si>
  <si>
    <t>Agente infeccioso</t>
  </si>
  <si>
    <t>2018.275.703-0/01</t>
  </si>
  <si>
    <t>Ana Carolina Penha Coimbra</t>
  </si>
  <si>
    <t>Médica Patologista</t>
  </si>
  <si>
    <t>Sala de Macroscopia</t>
  </si>
  <si>
    <t>Histopatologia</t>
  </si>
  <si>
    <t>2021.072481.1/01</t>
  </si>
  <si>
    <t>Josineide de Jesus Andrade</t>
  </si>
  <si>
    <t>Teste Alérgico</t>
  </si>
  <si>
    <t>Guia do Gelco</t>
  </si>
  <si>
    <t>2018.337.175-5/01</t>
  </si>
  <si>
    <t>Adriana De Carvalho Lima</t>
  </si>
  <si>
    <t>Centro Cirúrgico 2</t>
  </si>
  <si>
    <t>Esmagamento entre maca e parede</t>
  </si>
  <si>
    <t>S62</t>
  </si>
  <si>
    <t>DIVGP/DLIH/SRPA</t>
  </si>
  <si>
    <t>Solicitação de adequação da porta e de procedimento de transporte.</t>
  </si>
  <si>
    <t>38/2018</t>
  </si>
  <si>
    <t>Não é possível fazer as adequações.</t>
  </si>
  <si>
    <t>2018.335.638-1/01</t>
  </si>
  <si>
    <t>Renata Dultra Torres</t>
  </si>
  <si>
    <t>Biomédica</t>
  </si>
  <si>
    <t>Ferramenta Manual Sem Força Motriz NIC (Estilete)</t>
  </si>
  <si>
    <t>Orientação realizada de imediato quanto à importância do uso de EPI (Luvas).</t>
  </si>
  <si>
    <t>2018.397.661-4/01</t>
  </si>
  <si>
    <t>Maria Edivaneide De Jesus</t>
  </si>
  <si>
    <t>Pulsoterapia</t>
  </si>
  <si>
    <t>2018.432.835-7/01</t>
  </si>
  <si>
    <t>Katia Cristina Tertulina Mendonça</t>
  </si>
  <si>
    <t>Reforçar a importância da utilização dos óculos de proteção</t>
  </si>
  <si>
    <t>2018.443.001-1/01</t>
  </si>
  <si>
    <t>Porta Com Dispotitivo de Mola</t>
  </si>
  <si>
    <t>2018.454.579-0/01</t>
  </si>
  <si>
    <t>Alecio Soares da Silva Junior</t>
  </si>
  <si>
    <t>Assistente Administrativo</t>
  </si>
  <si>
    <t>Próximo a Carpintaria</t>
  </si>
  <si>
    <t>Anexo</t>
  </si>
  <si>
    <t>Placa de MDF</t>
  </si>
  <si>
    <t>S.01</t>
  </si>
  <si>
    <t>2018.484.925-0/01</t>
  </si>
  <si>
    <t>Wescley Alvaro Santos</t>
  </si>
  <si>
    <t>Unidade de Apoio e Diagnóstico</t>
  </si>
  <si>
    <t>Porta papel toalha</t>
  </si>
  <si>
    <t>2019.024.372-4/01</t>
  </si>
  <si>
    <t>Vanessa Cândido Dos Santos</t>
  </si>
  <si>
    <t>Via Pública</t>
  </si>
  <si>
    <t>Perna</t>
  </si>
  <si>
    <t>S82.0</t>
  </si>
  <si>
    <t>2019.010.473-2/01</t>
  </si>
  <si>
    <t>Gelco</t>
  </si>
  <si>
    <t>2019.047.106-9/01</t>
  </si>
  <si>
    <t>Amanda Isabella Rodrigues Gomes</t>
  </si>
  <si>
    <t>Pele</t>
  </si>
  <si>
    <t>2019.047.126-3/01</t>
  </si>
  <si>
    <t>Alailson Santos Vieira</t>
  </si>
  <si>
    <t>2019.024.470-4/01</t>
  </si>
  <si>
    <t>Aline Maria Cruz Teles</t>
  </si>
  <si>
    <t>2019.064.783-3/01</t>
  </si>
  <si>
    <t>Marília Barbosa</t>
  </si>
  <si>
    <t>Médica Anestesiologista</t>
  </si>
  <si>
    <t>Seringa com agulha</t>
  </si>
  <si>
    <t>Y60.6</t>
  </si>
  <si>
    <t>2019.100.115-5/01</t>
  </si>
  <si>
    <t>Amanda  De Jesus Santos Ribeiro</t>
  </si>
  <si>
    <t>Restaurante</t>
  </si>
  <si>
    <t>Tornozelo</t>
  </si>
  <si>
    <t>Queda de mesmo nível</t>
  </si>
  <si>
    <t>M95.8</t>
  </si>
  <si>
    <t>2019.115.126-2/01</t>
  </si>
  <si>
    <t>Anne Rafaelle Dos Santos Almeida</t>
  </si>
  <si>
    <t>V29.1</t>
  </si>
  <si>
    <t>2019.114.2536-0/01</t>
  </si>
  <si>
    <t>Maria Sandra De Jesus Palmeira</t>
  </si>
  <si>
    <t>Cesto de metal</t>
  </si>
  <si>
    <t>S50.8</t>
  </si>
  <si>
    <t>2019.158.678-1/01</t>
  </si>
  <si>
    <t>Dermato</t>
  </si>
  <si>
    <t>Dorso do Pé</t>
  </si>
  <si>
    <t>Instrumentais cirúrgicos</t>
  </si>
  <si>
    <t>Z20.8</t>
  </si>
  <si>
    <t>2019.152.571-5/01</t>
  </si>
  <si>
    <t>Patrícia Nascimento Lima</t>
  </si>
  <si>
    <t>Enfermaria Pediátrica</t>
  </si>
  <si>
    <t>Soro com secreção</t>
  </si>
  <si>
    <t>2019.161.713-0/01</t>
  </si>
  <si>
    <t>Elaine Cristina Alves</t>
  </si>
  <si>
    <t>2019.154.386-1/01</t>
  </si>
  <si>
    <t>Helem Joyce Leite Dutra Da Silva</t>
  </si>
  <si>
    <t>S83.0</t>
  </si>
  <si>
    <t>2019.180675-7/01</t>
  </si>
  <si>
    <t>Emilly Correa Nepomuceno Hora</t>
  </si>
  <si>
    <t>S93.6</t>
  </si>
  <si>
    <t>2019.163.640-1/01</t>
  </si>
  <si>
    <t>2019.166.995-4/01</t>
  </si>
  <si>
    <t>Laboratório de Patologia</t>
  </si>
  <si>
    <t>2019.115.970-0/01</t>
  </si>
  <si>
    <t>Área pública</t>
  </si>
  <si>
    <t>Queda motocicleta</t>
  </si>
  <si>
    <t>S80.8</t>
  </si>
  <si>
    <t>2019.256.499-4/01</t>
  </si>
  <si>
    <t>Leonardo Rodrigues dos Santos</t>
  </si>
  <si>
    <t>Enfermeiro</t>
  </si>
  <si>
    <t>NIR</t>
  </si>
  <si>
    <t>Condensadora de Ar</t>
  </si>
  <si>
    <t>S01.0</t>
  </si>
  <si>
    <t>DLIH</t>
  </si>
  <si>
    <t>Solicitação de adequação da condensadora de ar a uma altura que não ofereça novos acidentes semelhantes.</t>
  </si>
  <si>
    <t>Relatório - SEI nº 11/2019/DIVGP/GA/HU-UFS-EBSERH</t>
  </si>
  <si>
    <t>2019.249.474-0/01</t>
  </si>
  <si>
    <t>Sara Elisabete Rocha Viana</t>
  </si>
  <si>
    <t>Face</t>
  </si>
  <si>
    <t>Água com resíduos biológicos</t>
  </si>
  <si>
    <t>2019.259.669-1/01</t>
  </si>
  <si>
    <t>Antônio Lucas Dias da Silva</t>
  </si>
  <si>
    <t>Serviços Gerais</t>
  </si>
  <si>
    <t>2019.218.171-8/01</t>
  </si>
  <si>
    <t>Dulce Maria Cardoso Dos Santos</t>
  </si>
  <si>
    <t>Agulha do jelco</t>
  </si>
  <si>
    <t>2019.229.388-5/01</t>
  </si>
  <si>
    <t>Sandra Cardoso Dos Santos</t>
  </si>
  <si>
    <t>Oncologia</t>
  </si>
  <si>
    <t>2019.279.919-3/01</t>
  </si>
  <si>
    <t>Candice Costa das Neves</t>
  </si>
  <si>
    <t>Farmacêutica</t>
  </si>
  <si>
    <t>2019.288.211-2/01</t>
  </si>
  <si>
    <t>José Azael Gois Terceiro Neto</t>
  </si>
  <si>
    <t>Setor de Patrimônio</t>
  </si>
  <si>
    <t>Estante de aço</t>
  </si>
  <si>
    <t>2019.314.075-6/01</t>
  </si>
  <si>
    <t>Jato de ar com residuos biológicos</t>
  </si>
  <si>
    <t>Aquivar</t>
  </si>
  <si>
    <t>2019.322.517-4/01</t>
  </si>
  <si>
    <t>Punçaõ</t>
  </si>
  <si>
    <t>2019.348.523-0/01</t>
  </si>
  <si>
    <t>Tereza Cecilia Costa Nascimento</t>
  </si>
  <si>
    <t>Psicologa</t>
  </si>
  <si>
    <t>DivGP</t>
  </si>
  <si>
    <t>Ouvido</t>
  </si>
  <si>
    <t>Pessoa</t>
  </si>
  <si>
    <t>Y04</t>
  </si>
  <si>
    <t>2019.345.717-2/01</t>
  </si>
  <si>
    <t>Livia Albuquerque Resende de Oliveira</t>
  </si>
  <si>
    <t>Face/olhos</t>
  </si>
  <si>
    <t>Material biologico</t>
  </si>
  <si>
    <t>2019.329.501-6/01</t>
  </si>
  <si>
    <t>Dennise Araújo Lima</t>
  </si>
  <si>
    <t>2019.329.311-0/01</t>
  </si>
  <si>
    <t>Vinícius Bravo de Oliveira Santos</t>
  </si>
  <si>
    <t>Médico</t>
  </si>
  <si>
    <t>2019.359.259-2/01</t>
  </si>
  <si>
    <t>Danielle Almeida da Mota</t>
  </si>
  <si>
    <t>Sombreiro</t>
  </si>
  <si>
    <t>S60</t>
  </si>
  <si>
    <t>2019.355.631-6/01</t>
  </si>
  <si>
    <t>Géssica Uruga Oliveira</t>
  </si>
  <si>
    <t>Faca</t>
  </si>
  <si>
    <t>2019.382.012-9/01</t>
  </si>
  <si>
    <t>Lilian Leandro de Oliveira Santos</t>
  </si>
  <si>
    <t>Coluna Lombar</t>
  </si>
  <si>
    <t>T14</t>
  </si>
  <si>
    <t>2019.414.146-2/01</t>
  </si>
  <si>
    <t>Claudio Santos Silva</t>
  </si>
  <si>
    <t>alça de polipectomia</t>
  </si>
  <si>
    <t>2019.411.226-8/01</t>
  </si>
  <si>
    <t>Claudia Marcela Santos de Araújo</t>
  </si>
  <si>
    <t>Mão e dedos</t>
  </si>
  <si>
    <t>Autoclave Aquecido</t>
  </si>
  <si>
    <t>T30.2</t>
  </si>
  <si>
    <t>2019.427.059-9/01</t>
  </si>
  <si>
    <t>Setor de Suprimentos</t>
  </si>
  <si>
    <t>2019.507208.1/01</t>
  </si>
  <si>
    <t>Ana Paula dos Santos Oliveira</t>
  </si>
  <si>
    <t>14:30 PM</t>
  </si>
  <si>
    <t>Dedo polegar direito</t>
  </si>
  <si>
    <t>2019.444719.7/01</t>
  </si>
  <si>
    <t>Face e mucosa</t>
  </si>
  <si>
    <t>2019.509733.5/01</t>
  </si>
  <si>
    <t>Sandra Guaracira Santos de Melo</t>
  </si>
  <si>
    <t>Técnica em Laboratório</t>
  </si>
  <si>
    <t>Laboratório de Analises Clínicas</t>
  </si>
  <si>
    <t>S309</t>
  </si>
  <si>
    <t>2019.509913.3/01</t>
  </si>
  <si>
    <t>Prícia dos Santos Silva</t>
  </si>
  <si>
    <t>Centro Cirúrgico 1</t>
  </si>
  <si>
    <t>2019.527765.1/01</t>
  </si>
  <si>
    <t>Elisãngela Rego de Oliveira Souza</t>
  </si>
  <si>
    <t>Queda</t>
  </si>
  <si>
    <t>S93</t>
  </si>
  <si>
    <t>Orientar os trabalhadores do local no uso correto das cadeiras tipo caixa alta.</t>
  </si>
  <si>
    <t>2020.020524.2/01</t>
  </si>
  <si>
    <t>Isis Helena Chaplin Andrade</t>
  </si>
  <si>
    <t>Médica Ginecologista</t>
  </si>
  <si>
    <t>Sala Cirurgica</t>
  </si>
  <si>
    <t>Anexo Hospital</t>
  </si>
  <si>
    <t>Contato com Sangue</t>
  </si>
  <si>
    <t>2020.006380.4/01</t>
  </si>
  <si>
    <t>Carlos Henrique Souza Nascimento</t>
  </si>
  <si>
    <t>Serralheiro</t>
  </si>
  <si>
    <t>Serralheiria</t>
  </si>
  <si>
    <t>Lâmina</t>
  </si>
  <si>
    <t>2020.019947.1/01</t>
  </si>
  <si>
    <t>Paula Regina de Souza Campos Maynart</t>
  </si>
  <si>
    <t>CITI</t>
  </si>
  <si>
    <t>A chefia do Setor agendou reunião para reforçar os procedimentos de descarte adequados de resíduos.</t>
  </si>
  <si>
    <t>2020.035770.0/01</t>
  </si>
  <si>
    <t>Aline Bezerra Silva</t>
  </si>
  <si>
    <t>Lâmina de bisturi</t>
  </si>
  <si>
    <t>S61</t>
  </si>
  <si>
    <t>Solicitar aquisição de tesoura e filme de melhor aderência.</t>
  </si>
  <si>
    <t>2020.0494226.0/01</t>
  </si>
  <si>
    <t>Michele da Silva Galdino</t>
  </si>
  <si>
    <t>Cumprir Plano de Ação, orientar os trabalhadores do setor no uso correto de EPI e planejamento das atividades</t>
  </si>
  <si>
    <t>2020.049828.2/01</t>
  </si>
  <si>
    <t>Maria das Graças Pires de Almeida</t>
  </si>
  <si>
    <t>Farmácia do Centro Cirúrgico</t>
  </si>
  <si>
    <t>Ampola de Medicamento</t>
  </si>
  <si>
    <t>A chefia do Setor agendou reunião para reforçar os procedimentos de manuseio do KIT adequados.</t>
  </si>
  <si>
    <t>2020.058772.2/01</t>
  </si>
  <si>
    <t>Elizabete Santos Ferreira</t>
  </si>
  <si>
    <t>Palma Mão Esq.</t>
  </si>
  <si>
    <t>Equipo/Seringa/Agulha</t>
  </si>
  <si>
    <t>Solicitar chefia da divisão de enfermagem a revisão do procedimento para verificar existencia de melhoria no processo.</t>
  </si>
  <si>
    <t>2020.058730.7/01</t>
  </si>
  <si>
    <t>Gilenilde Vieira Nunes dos Santos</t>
  </si>
  <si>
    <t>Centro Cirúrgico – 1</t>
  </si>
  <si>
    <t>Olho direito</t>
  </si>
  <si>
    <t>Contato com urina</t>
  </si>
  <si>
    <t>2020.071276.4/01</t>
  </si>
  <si>
    <t>Paula Beatriz Silva Santana</t>
  </si>
  <si>
    <t>Coxa esquerda</t>
  </si>
  <si>
    <t>Ferramenta, Maquina Equipamento, Veiculo, NIC</t>
  </si>
  <si>
    <t>Y60.3</t>
  </si>
  <si>
    <t>2020.279129.7/01</t>
  </si>
  <si>
    <t>Adail Bezerra Rodrigues Pacheco</t>
  </si>
  <si>
    <t>Fluido gástrico</t>
  </si>
  <si>
    <t>2020.250162.0/01</t>
  </si>
  <si>
    <t>Abel Lopes Neto</t>
  </si>
  <si>
    <t>M25.5</t>
  </si>
  <si>
    <t>E-mail enviado solicitando que as atividades de limpeza de piso em que os mesmos estejam molhados sejam sinalizados pelos trabalhadores da higienização e limpeza para evitar novos acidentes deste tipo.</t>
  </si>
  <si>
    <t>2020.265759.0/01</t>
  </si>
  <si>
    <t>UTI-covid</t>
  </si>
  <si>
    <t>2020.274209.1/01</t>
  </si>
  <si>
    <t>Daniela Lima Travassos</t>
  </si>
  <si>
    <t>Enfermaria - COVID - 19</t>
  </si>
  <si>
    <t>Corte com lâmina de bisturi</t>
  </si>
  <si>
    <t>Enfermaria COVID</t>
  </si>
  <si>
    <t>Enviado e-mail solicitando o fornecimento de tesoura para tal procedimento, tendo em vista a redução do risco de novos acidentes semelhantes.</t>
  </si>
  <si>
    <t>2020.278908.0/01</t>
  </si>
  <si>
    <t>Cristiano de Oliveira Santos</t>
  </si>
  <si>
    <t>Técnico em Laboratório</t>
  </si>
  <si>
    <t>Palma da mão esquerda</t>
  </si>
  <si>
    <t>2020.303002.8/01</t>
  </si>
  <si>
    <t>Alana Karla da Silva</t>
  </si>
  <si>
    <t>Clínica Médica 1</t>
  </si>
  <si>
    <t xml:space="preserve"> Hospital</t>
  </si>
  <si>
    <t>Dedo mão esquerda</t>
  </si>
  <si>
    <t>Agulha 40 x 12</t>
  </si>
  <si>
    <t>Cumprir Plano de Ação</t>
  </si>
  <si>
    <t>2020.348383.9/01</t>
  </si>
  <si>
    <t>Thiago Moura De Melo</t>
  </si>
  <si>
    <t>UTI COVID - 19</t>
  </si>
  <si>
    <t>2020.405609.8/01</t>
  </si>
  <si>
    <t>Juliana Mendes De Santana</t>
  </si>
  <si>
    <t>CM I</t>
  </si>
  <si>
    <t>2020.398400.5/01</t>
  </si>
  <si>
    <t>Jamille da Silva Santos</t>
  </si>
  <si>
    <t>Divisão Médica e Divisão de Enfermagem</t>
  </si>
  <si>
    <t>Despacho SEI</t>
  </si>
  <si>
    <t>23530.012258/2020-18</t>
  </si>
  <si>
    <t>2020.514235.4/01</t>
  </si>
  <si>
    <t>Rafaela Taiz Batista Souza</t>
  </si>
  <si>
    <t>Didática 1</t>
  </si>
  <si>
    <t>Gerencia de Ensino e Pesquisa</t>
  </si>
  <si>
    <t>2020.464008.3/01</t>
  </si>
  <si>
    <t>Aline Silva Barreto</t>
  </si>
  <si>
    <t>UTI Geral</t>
  </si>
  <si>
    <t>2020.464944.7/01</t>
  </si>
  <si>
    <t>Mayra Gomes dos Santos</t>
  </si>
  <si>
    <t>CM 1</t>
  </si>
  <si>
    <t>Bisturi</t>
  </si>
  <si>
    <t>2020.472090.7/01</t>
  </si>
  <si>
    <t>Andreza Bezerra da Silva</t>
  </si>
  <si>
    <t>Braço</t>
  </si>
  <si>
    <t>Mordida</t>
  </si>
  <si>
    <t>2021.009990.9/01</t>
  </si>
  <si>
    <t>Cristiana Cabral Carvalho</t>
  </si>
  <si>
    <t>2020.474295.1/01</t>
  </si>
  <si>
    <t>Viviane de Almeida Silva</t>
  </si>
  <si>
    <t>2020.492469.3/01</t>
  </si>
  <si>
    <t>Pedro Lima Dos Santos</t>
  </si>
  <si>
    <t>Técnico em Histologia</t>
  </si>
  <si>
    <t>Lamínula</t>
  </si>
  <si>
    <t>2020.520051.6/01</t>
  </si>
  <si>
    <t>Josefa Almeida Nascimento</t>
  </si>
  <si>
    <t>Setor Apoio Diagnóstico</t>
  </si>
  <si>
    <t>Y60.4</t>
  </si>
  <si>
    <t>2021.065772.3/01</t>
  </si>
  <si>
    <t>2021.015125.0/01</t>
  </si>
  <si>
    <t>Valquiria Vieira da Silva</t>
  </si>
  <si>
    <t>2021.031420.6/01</t>
  </si>
  <si>
    <t>Josineide De Jesus Andrade</t>
  </si>
  <si>
    <t>Clínica Médica 2</t>
  </si>
  <si>
    <t>Tronco (Ombro, seio, trapézio e pescoço)</t>
  </si>
  <si>
    <t>Ataque de Ser Vivo (Soco de Paciente)</t>
  </si>
  <si>
    <t>S20.0</t>
  </si>
  <si>
    <t>2021.090877.7/01</t>
  </si>
  <si>
    <t>Lauriene Silva Santos</t>
  </si>
  <si>
    <t>Despacho SEI 23530.003472/2021-64</t>
  </si>
  <si>
    <t>Despachado SEI solicitando medidas.</t>
  </si>
  <si>
    <t>2021.103468.1/01</t>
  </si>
  <si>
    <t>Suzi Andrea Cardoso Menezes</t>
  </si>
  <si>
    <t>Rampa Saída HU</t>
  </si>
  <si>
    <t>Braço esquerdo</t>
  </si>
  <si>
    <t>Piso úmido</t>
  </si>
  <si>
    <t>S42.4</t>
  </si>
  <si>
    <t>2021.086407.9/01</t>
  </si>
  <si>
    <t>Keyla Cristina dos Santos Costas</t>
  </si>
  <si>
    <t>Expurgo</t>
  </si>
  <si>
    <t>Palma da mão direita</t>
  </si>
  <si>
    <t>Ferramenta</t>
  </si>
  <si>
    <t>D &amp; L</t>
  </si>
  <si>
    <t>2021.088466.5/01</t>
  </si>
  <si>
    <t>Genilson De Jesus Santos</t>
  </si>
  <si>
    <t>Jardineiro</t>
  </si>
  <si>
    <t>HU</t>
  </si>
  <si>
    <t>Jardim da DLIH</t>
  </si>
  <si>
    <t>Tronco de árvore</t>
  </si>
  <si>
    <t>S92.4</t>
  </si>
  <si>
    <t>2021.084722.0/01</t>
  </si>
  <si>
    <t>Gustavo Melo Rios Souza</t>
  </si>
  <si>
    <t>Prateleira de vidro</t>
  </si>
  <si>
    <t>Despacho SEI 23530.003230/2021-71</t>
  </si>
  <si>
    <t>2021.092970.7/01</t>
  </si>
  <si>
    <t>Adriana Patricia dos Santos</t>
  </si>
  <si>
    <t>Entrada do Anexo Hospitalar</t>
  </si>
  <si>
    <t>Tapete, forro piso</t>
  </si>
  <si>
    <t>W01.8</t>
  </si>
  <si>
    <t>2021.177120.1/01</t>
  </si>
  <si>
    <t>Givanildes Sales dos Santos</t>
  </si>
  <si>
    <t>Estacionamneto HU</t>
  </si>
  <si>
    <t>Porta do veículo</t>
  </si>
  <si>
    <t>S600</t>
  </si>
  <si>
    <t>2021.143711.5/01</t>
  </si>
  <si>
    <t>Ana Cristina Souza Silva Campos</t>
  </si>
  <si>
    <t>Mão direita</t>
  </si>
  <si>
    <t>Caneta bisturi</t>
  </si>
  <si>
    <t>2021.136572.6/01</t>
  </si>
  <si>
    <t>Dominique de Souza Farias</t>
  </si>
  <si>
    <t>2021.149190.0/01</t>
  </si>
  <si>
    <t>Rosalena dos Santos</t>
  </si>
  <si>
    <t>Corredor da Clínica Médica1</t>
  </si>
  <si>
    <t>Clínica Médica1</t>
  </si>
  <si>
    <t>Região dorso lombar da cluna vertebral</t>
  </si>
  <si>
    <t>Piso escorregadio</t>
  </si>
  <si>
    <t>2021.150239.1/01</t>
  </si>
  <si>
    <t>Contusão e traumatismo superficiais de dorso</t>
  </si>
  <si>
    <t>Colisão de Veículo Com moto</t>
  </si>
  <si>
    <t>S59</t>
  </si>
  <si>
    <t>2021.196326.7/01</t>
  </si>
  <si>
    <t>Ana Paula Pereira de Jesus</t>
  </si>
  <si>
    <t>Ambulatório - Hepatologia</t>
  </si>
  <si>
    <t>Condução de Motocicleta</t>
  </si>
  <si>
    <t>2021.189262.9/01</t>
  </si>
  <si>
    <t>Tammy Poliane Gomes Aleixo</t>
  </si>
  <si>
    <t>Enfermaria da Oncologia</t>
  </si>
  <si>
    <t>2021.195349.0/01</t>
  </si>
  <si>
    <t>Prancheta de metal</t>
  </si>
  <si>
    <t>S636</t>
  </si>
  <si>
    <t>2021.205975.0/01</t>
  </si>
  <si>
    <t>Dilma Messias dos Santos</t>
  </si>
  <si>
    <t>2021.261649.8/01</t>
  </si>
  <si>
    <t>Amanda  de Jesus Santos Ribeiro</t>
  </si>
  <si>
    <t>Covid-19</t>
  </si>
  <si>
    <t>Doença Ocupacional</t>
  </si>
  <si>
    <t>B34.2</t>
  </si>
  <si>
    <t>2021.286701.6/01</t>
  </si>
  <si>
    <t>Aline Batista Cunha</t>
  </si>
  <si>
    <t xml:space="preserve">Enfermaria - 4  </t>
  </si>
  <si>
    <t>2021.289827.2/01</t>
  </si>
  <si>
    <t>Rafaela Teodoro de Oliveira</t>
  </si>
  <si>
    <t xml:space="preserve">Enfermaria - 1  </t>
  </si>
  <si>
    <t>Objeto Estranho</t>
  </si>
  <si>
    <t>2021.306868.0/01</t>
  </si>
  <si>
    <t>Maria Esmeralda Vasconcelos dos Santos</t>
  </si>
  <si>
    <t>Enfermaria Pediatria</t>
  </si>
  <si>
    <t>Cabeça</t>
  </si>
  <si>
    <t>Armário de madeira</t>
  </si>
  <si>
    <t>2021.305463.9/01</t>
  </si>
  <si>
    <t>José Roberto dos Santos</t>
  </si>
  <si>
    <t>Dor lombar</t>
  </si>
  <si>
    <t>2021.331289.1/01</t>
  </si>
  <si>
    <t>Ariane Andreza Souza Santos de Oliveira</t>
  </si>
  <si>
    <t>Antebraço Direito</t>
  </si>
  <si>
    <t>Y04.3</t>
  </si>
  <si>
    <t>2021.331772.9/01</t>
  </si>
  <si>
    <t>Alessandra de Oliveira Santana</t>
  </si>
  <si>
    <t>UTI Covid</t>
  </si>
  <si>
    <t>2021.333216.7/01</t>
  </si>
  <si>
    <t>Celina de Oliveira Bastos</t>
  </si>
  <si>
    <t>Pescoço</t>
  </si>
  <si>
    <t>Y04.2</t>
  </si>
  <si>
    <t>2021.168197.0/01</t>
  </si>
  <si>
    <t>Angelica Maria Oliveira</t>
  </si>
  <si>
    <t>Unidade de Odontologia</t>
  </si>
  <si>
    <t>Lesões Multiplas</t>
  </si>
  <si>
    <t>Colisão de Veículo</t>
  </si>
  <si>
    <t>Acidente de Trajeto</t>
  </si>
  <si>
    <t>2021.332308.7/01</t>
  </si>
  <si>
    <t>Maiza Miranda do Nascimento</t>
  </si>
  <si>
    <t>Agulha - guia gelco</t>
  </si>
  <si>
    <t>2021.342236.0/01</t>
  </si>
  <si>
    <t>Alisson Tadeu Santana Moreira</t>
  </si>
  <si>
    <t>M758</t>
  </si>
  <si>
    <t>2021.355191.8/01</t>
  </si>
  <si>
    <t>Eloisa Pereira Santos</t>
  </si>
  <si>
    <t>Clínica Cirurgica 02</t>
  </si>
  <si>
    <t>2021.406594.4/01</t>
  </si>
  <si>
    <t>Suely Moura</t>
  </si>
  <si>
    <t>Técnica em Enfermagem do Trabalho</t>
  </si>
  <si>
    <t>Ambulatório Biomédica</t>
  </si>
  <si>
    <t>USOST</t>
  </si>
  <si>
    <t>Tornozelo esquerdo</t>
  </si>
  <si>
    <t>2021.463388.8/01</t>
  </si>
  <si>
    <t>Rosemeire Dantas Andrade</t>
  </si>
  <si>
    <t>Corredor térreo - prédio do internamento</t>
  </si>
  <si>
    <t>Clínica Médica 01</t>
  </si>
  <si>
    <t>Cotovelo esquerdo</t>
  </si>
  <si>
    <t>Chão</t>
  </si>
  <si>
    <t>2021.466907.6/01</t>
  </si>
  <si>
    <t>Acacia Maria Nunes da Silva</t>
  </si>
  <si>
    <t>Sala de Autoclave</t>
  </si>
  <si>
    <t>CME - 1</t>
  </si>
  <si>
    <t>Antebraço Esquerdo</t>
  </si>
  <si>
    <t>Carrinho do Autoclave</t>
  </si>
  <si>
    <t>S41.1</t>
  </si>
  <si>
    <t>2021.472347.0/01</t>
  </si>
  <si>
    <t>CM - 2</t>
  </si>
  <si>
    <t>Z209</t>
  </si>
  <si>
    <t>2021.408290.3/01</t>
  </si>
  <si>
    <t>Rodrigo Damasceno Santos</t>
  </si>
  <si>
    <t>Dorsais</t>
  </si>
  <si>
    <t>Y042</t>
  </si>
  <si>
    <t>2021.407887.6/01</t>
  </si>
  <si>
    <t>Jailma Ferreira De Oliveira Souza</t>
  </si>
  <si>
    <t>Rampa entre HU e Anexo</t>
  </si>
  <si>
    <t>Peso Excessivo</t>
  </si>
  <si>
    <t>M545</t>
  </si>
  <si>
    <t>2021.416193/01</t>
  </si>
  <si>
    <t>Clara Angelica Barreto Santos</t>
  </si>
  <si>
    <t>Calçada proximo a Didatica 01</t>
  </si>
  <si>
    <t>Central de Protuarios</t>
  </si>
  <si>
    <t>W102</t>
  </si>
  <si>
    <t>2021.49361.6/01</t>
  </si>
  <si>
    <t>Neylor Rodrigo Oliveira Aragão</t>
  </si>
  <si>
    <t>NEPE</t>
  </si>
  <si>
    <t>Palpebra do olho</t>
  </si>
  <si>
    <t>Bandeja</t>
  </si>
  <si>
    <t>S05</t>
  </si>
  <si>
    <t>2021.518725.3/01</t>
  </si>
  <si>
    <t>Patricia Santos Rodrigues Costa</t>
  </si>
  <si>
    <t>Médica - Cirúrgia Geral</t>
  </si>
  <si>
    <t>Cirurgia Geral</t>
  </si>
  <si>
    <t>Dedo da mão esquerda</t>
  </si>
  <si>
    <t>2021.529685.0/01</t>
  </si>
  <si>
    <t>Alysson Lincoln do Nascimento Vieira</t>
  </si>
  <si>
    <t>Técnico em Patologia Clínica</t>
  </si>
  <si>
    <t>2021.520353.4/01</t>
  </si>
  <si>
    <t>Gizelle de Oliveira Souza</t>
  </si>
  <si>
    <t>Enfermaria Oncologia</t>
  </si>
  <si>
    <t>Respingo de Quimioterápico</t>
  </si>
  <si>
    <t>L25.1</t>
  </si>
  <si>
    <t>2021.521478.1/01</t>
  </si>
  <si>
    <t>Mão direita e região frontal do pescoço</t>
  </si>
  <si>
    <t>Y088</t>
  </si>
  <si>
    <t>2022.423711.0/01</t>
  </si>
  <si>
    <t>Maria de Fátima Santos Costa</t>
  </si>
  <si>
    <t>Terceiro dedo da mão direita</t>
  </si>
  <si>
    <t>Agulha Gelco 18</t>
  </si>
  <si>
    <t>2022.551529.6/01</t>
  </si>
  <si>
    <t>Face lateral esquerda</t>
  </si>
  <si>
    <t>Vomito</t>
  </si>
  <si>
    <t>2022.721496.0/01</t>
  </si>
  <si>
    <t>Contato com Quimioterápico</t>
  </si>
  <si>
    <t>X57</t>
  </si>
  <si>
    <t>A colaboradora informou o acidente na saúde ocupacional em 26/04/2022 ás 11:00 horas e na segurança do trabalho em   19/05/2022, sendo que o acidente ocorreu em 29/03/2022.</t>
  </si>
  <si>
    <t>2022.695556.7/01</t>
  </si>
  <si>
    <t>Gleyce Kelly de Brito Brasileiro Santos</t>
  </si>
  <si>
    <t>2022.707224.3/01</t>
  </si>
  <si>
    <t>Tenise Clea Santana Mendonça</t>
  </si>
  <si>
    <t>Ouvido Direito</t>
  </si>
  <si>
    <t>chute</t>
  </si>
  <si>
    <t>2022.715996.9/01</t>
  </si>
  <si>
    <t>Roberta Priscila Costa Dantas Céu</t>
  </si>
  <si>
    <t>H57.8</t>
  </si>
  <si>
    <t>2022.756895.8/01</t>
  </si>
  <si>
    <t>Maria Marcia Noronha da Silva</t>
  </si>
  <si>
    <t>Assistente Social</t>
  </si>
  <si>
    <t>Fundos do Auditório da Didática - 1</t>
  </si>
  <si>
    <t>Unidade de Atenção Psicossocial</t>
  </si>
  <si>
    <t>Punhos e joelhos</t>
  </si>
  <si>
    <t>2022.763861.1/01</t>
  </si>
  <si>
    <t>Dedo indicador direito</t>
  </si>
  <si>
    <t>Agulha do gelco</t>
  </si>
  <si>
    <t>2022.787957.0/01</t>
  </si>
  <si>
    <t>Viviane Farias Barros</t>
  </si>
  <si>
    <t>Ambulatório de Oncologia</t>
  </si>
  <si>
    <t>Dedo Polegar esquerdo</t>
  </si>
  <si>
    <t>2022.819239.0/01</t>
  </si>
  <si>
    <t>Amanda Karine dos Santos</t>
  </si>
  <si>
    <t>Clínica Médica - 1</t>
  </si>
  <si>
    <t>Lateral esquerda do rosto e olho</t>
  </si>
  <si>
    <t>Líquido com sangue</t>
  </si>
  <si>
    <t>2022.819491.1/01</t>
  </si>
  <si>
    <t>Lindinalva Maria dos Santos</t>
  </si>
  <si>
    <t>Anexo Hospitalar</t>
  </si>
  <si>
    <t>Elevador</t>
  </si>
  <si>
    <t>2022.870827.3/01</t>
  </si>
  <si>
    <t>Klevinliany Santos Sobral Moraes</t>
  </si>
  <si>
    <t>Setor de Apoio Diagnóstico</t>
  </si>
  <si>
    <t>Material biológico</t>
  </si>
  <si>
    <t>16112119628/eSocial</t>
  </si>
  <si>
    <t>Nailson Silva Lima</t>
  </si>
  <si>
    <t>Partes múltiplas, Pneumotórax</t>
  </si>
  <si>
    <t>J93</t>
  </si>
  <si>
    <t>2022.892402.2/01</t>
  </si>
  <si>
    <t>Maria Hermogenia Cabral dos Santos de Castro</t>
  </si>
  <si>
    <t>Dedo halux pé esquerdo</t>
  </si>
  <si>
    <t>Pedal da maca</t>
  </si>
  <si>
    <t>16240342312/e-social</t>
  </si>
  <si>
    <t>Josivânia Santos Lima</t>
  </si>
  <si>
    <t>Técnica em Radiologia</t>
  </si>
  <si>
    <t>Mamografia</t>
  </si>
  <si>
    <t>Líquido para contraste</t>
  </si>
  <si>
    <t>S57.9</t>
  </si>
  <si>
    <t>16261694950/eSocial</t>
  </si>
  <si>
    <t>Sandra Lidiane do Nascimento Cruz</t>
  </si>
  <si>
    <t>Centro Cirúrgico – 2</t>
  </si>
  <si>
    <t>Maca de transporte de paciente</t>
  </si>
  <si>
    <t>S70.1</t>
  </si>
  <si>
    <t>16261695169/eSocial</t>
  </si>
  <si>
    <t>Paula Fernanda Soares de Lima</t>
  </si>
  <si>
    <t>Setor de imagem</t>
  </si>
  <si>
    <t>SADI</t>
  </si>
  <si>
    <t>Punho direito</t>
  </si>
  <si>
    <t>Impacto de paciente</t>
  </si>
  <si>
    <t>16261694708/eSocial</t>
  </si>
  <si>
    <t>Tatiane Rodrigues</t>
  </si>
  <si>
    <t>Sala chefia Centro Cirúrgico</t>
  </si>
  <si>
    <t>Queimadura na orofaringe</t>
  </si>
  <si>
    <t>Hipoclorito de sódio</t>
  </si>
  <si>
    <t>X49</t>
  </si>
  <si>
    <t>16725860798/eSocial</t>
  </si>
  <si>
    <t>Maria Aparecida Fonseca de Moraes Boto</t>
  </si>
  <si>
    <t>Sala de preparo da tomografia</t>
  </si>
  <si>
    <t>Contusão joelho esquerdo</t>
  </si>
  <si>
    <t>S.80</t>
  </si>
  <si>
    <t>16947452191/e-Social</t>
  </si>
  <si>
    <t>Alisson José Santos Arruda</t>
  </si>
  <si>
    <t>Téc. Em Saúde</t>
  </si>
  <si>
    <t>Oncologia Internamento</t>
  </si>
  <si>
    <t>Dedo da mão direita</t>
  </si>
  <si>
    <t>Y60.9</t>
  </si>
  <si>
    <t>16977578206/e-Social</t>
  </si>
  <si>
    <t>Thaislane Santos Bispo Fraga</t>
  </si>
  <si>
    <t>CME 2</t>
  </si>
  <si>
    <t>T22.2</t>
  </si>
  <si>
    <t>17240682336/e-Social</t>
  </si>
  <si>
    <t>Michelly Cristianne Santos</t>
  </si>
  <si>
    <t>Escada entre segundo e primeiro andar</t>
  </si>
  <si>
    <t>Degrau de escada</t>
  </si>
  <si>
    <t>17365959333/e-Social</t>
  </si>
  <si>
    <t>Maria Angélica Rodrigues Santos</t>
  </si>
  <si>
    <t>Corredor do HU - Clínica Médica 2</t>
  </si>
  <si>
    <t>Setor de Regulação e Avaliação em Saúde</t>
  </si>
  <si>
    <t>Perna direita e ombro esquerdo</t>
  </si>
  <si>
    <t>Piso úmido do corredor do HU</t>
  </si>
  <si>
    <t>W18.2</t>
  </si>
  <si>
    <t>17823948978/e-Social</t>
  </si>
  <si>
    <t>Maria Albertina dos Santos</t>
  </si>
  <si>
    <t>Centro Cirúrgico II</t>
  </si>
  <si>
    <t>Centro Cirúrgico I</t>
  </si>
  <si>
    <t>Polegar da mão esquerda</t>
  </si>
  <si>
    <t>Porta de correr</t>
  </si>
  <si>
    <t>T14.8</t>
  </si>
  <si>
    <t>17943714560/e-Social</t>
  </si>
  <si>
    <t>Escada entre terceiro e o segundo andar do HU</t>
  </si>
  <si>
    <t>Comissão de pele</t>
  </si>
  <si>
    <t>Perna e pé esquerdos e cotovelos</t>
  </si>
  <si>
    <t>18102588642/e-Social</t>
  </si>
  <si>
    <t>Amanda Hellen Cerqueira Santos</t>
  </si>
  <si>
    <t>Projeção de tapume sobre pessoa</t>
  </si>
  <si>
    <t>T00.8</t>
  </si>
  <si>
    <t>18369623455/e-Social</t>
  </si>
  <si>
    <t>Karla M. Oliveira Boaventura</t>
  </si>
  <si>
    <t>Estacionamento do HU</t>
  </si>
  <si>
    <t>Auditoria</t>
  </si>
  <si>
    <t>Buraco no chão</t>
  </si>
  <si>
    <t>18423974860/e-Social</t>
  </si>
  <si>
    <t>José Marcio Martiliano</t>
  </si>
  <si>
    <t>Setor Psiquiatria</t>
  </si>
  <si>
    <t>Setor de Psiquiatria</t>
  </si>
  <si>
    <t>Partes Multiplas</t>
  </si>
  <si>
    <t>18491328614/e-Social</t>
  </si>
  <si>
    <t>Sarah Maria Grangeiro de Queiroz Rocha</t>
  </si>
  <si>
    <t>Biologa</t>
  </si>
  <si>
    <t>Laboratório da Unidade Transfusional</t>
  </si>
  <si>
    <t>Unidade Transfusional</t>
  </si>
  <si>
    <t>Lombo Sacra Direita</t>
  </si>
  <si>
    <t>Queda Piso úmido</t>
  </si>
  <si>
    <t>18494171267/e-Social</t>
  </si>
  <si>
    <t>Zilmara Mozze Rocha</t>
  </si>
  <si>
    <t>olho</t>
  </si>
  <si>
    <t>Secreção orgânica</t>
  </si>
  <si>
    <t>18533509053/e-Social</t>
  </si>
  <si>
    <t>Maria Esmeralda Vasconcelos Dos Santos</t>
  </si>
  <si>
    <t>Cicatrização</t>
  </si>
  <si>
    <t>TI4</t>
  </si>
  <si>
    <r>
      <rPr>
        <b/>
        <sz val="11"/>
        <color rgb="FF000000"/>
        <rFont val="Times New Roman1"/>
        <charset val="1"/>
      </rPr>
      <t xml:space="preserve">Lucia Helena Ferreira dos </t>
    </r>
    <r>
      <rPr>
        <b/>
        <u/>
        <sz val="11"/>
        <color rgb="FF000000"/>
        <rFont val="Times New Roman1"/>
        <charset val="1"/>
      </rPr>
      <t>Santos</t>
    </r>
  </si>
  <si>
    <t>Calçada danificada</t>
  </si>
  <si>
    <t>S521</t>
  </si>
  <si>
    <t>18766475690/e-Social</t>
  </si>
  <si>
    <t>Luis Fernando de Quiroz Lourenço</t>
  </si>
  <si>
    <t>Analista Administração Jornalismo</t>
  </si>
  <si>
    <t>Unidade de Comunicação Regional</t>
  </si>
  <si>
    <t>Palma da Mão</t>
  </si>
  <si>
    <t>Estilete</t>
  </si>
  <si>
    <t>S61.9</t>
  </si>
  <si>
    <t>18735655366/e-Social</t>
  </si>
  <si>
    <t>Clínica Médica 01do Ambulatório</t>
  </si>
  <si>
    <t>02/032023</t>
  </si>
  <si>
    <t>Balança de Medida</t>
  </si>
  <si>
    <t>S90</t>
  </si>
  <si>
    <t>18952137392/e-Social</t>
  </si>
  <si>
    <t>Iuri Marcel Alves Prates</t>
  </si>
  <si>
    <t>Bisturi elétrico</t>
  </si>
  <si>
    <t>T23</t>
  </si>
  <si>
    <t>18968779738/e-Social</t>
  </si>
  <si>
    <t>Ailton Rocha Araújo</t>
  </si>
  <si>
    <t>Analista Administrativo - Relações Públicas</t>
  </si>
  <si>
    <t>Calçada Próxima a Vivência Estudantil</t>
  </si>
  <si>
    <t>Gerência Administrativa</t>
  </si>
  <si>
    <t>Chão molhado</t>
  </si>
  <si>
    <t>W18</t>
  </si>
  <si>
    <t>19044994802/e-Social</t>
  </si>
  <si>
    <t>Angeliza Dos Santos Gamarra</t>
  </si>
  <si>
    <t>Dorso Esquerdo</t>
  </si>
  <si>
    <t>Herpes Zoster</t>
  </si>
  <si>
    <t>B02</t>
  </si>
  <si>
    <t>18978636116/e-Social</t>
  </si>
  <si>
    <t>Jackeline Melo Santana</t>
  </si>
  <si>
    <t>Regulação</t>
  </si>
  <si>
    <t>19165192637/e-Social</t>
  </si>
  <si>
    <t>Maria do Carmo dos Santos Gomes Deibert</t>
  </si>
  <si>
    <t>Escada - 3º andar</t>
  </si>
  <si>
    <t>Pé esquerdo</t>
  </si>
  <si>
    <t>19446305973/ e-Social</t>
  </si>
  <si>
    <t>CME 02</t>
  </si>
  <si>
    <t>Joelho esquerdo</t>
  </si>
  <si>
    <t>Estrutura física</t>
  </si>
  <si>
    <t>19434820697/ e-Social</t>
  </si>
  <si>
    <t>Centro Cirúgico 02</t>
  </si>
  <si>
    <t>20187261234/e-Social</t>
  </si>
  <si>
    <t>Sandra Medeiros da Silva Pantaleão</t>
  </si>
  <si>
    <t>Doença do Trabalho</t>
  </si>
  <si>
    <t>F32</t>
  </si>
  <si>
    <t>19844881639/e-Social</t>
  </si>
  <si>
    <t>Jose Roberto dos Santos</t>
  </si>
  <si>
    <t>Centro Cirúrgico 01</t>
  </si>
  <si>
    <t>Irritação no corpo</t>
  </si>
  <si>
    <t>Desinfetante quaternários de amônio e biguanida</t>
  </si>
  <si>
    <t>L 53</t>
  </si>
  <si>
    <t>20174680725/e-Social</t>
  </si>
  <si>
    <t>Rosineide de Jesus Santos</t>
  </si>
  <si>
    <t>Z56</t>
  </si>
  <si>
    <t>20769923925/e-Social</t>
  </si>
  <si>
    <t>Willianna Souza Rosa</t>
  </si>
  <si>
    <t>Contato com Fluidos orgânicos</t>
  </si>
  <si>
    <t>20814503065/e-Social</t>
  </si>
  <si>
    <t>Karina Pereira Barros de Melo</t>
  </si>
  <si>
    <t>Assistente Administrativa</t>
  </si>
  <si>
    <t>Animal vivo (Cachorro)</t>
  </si>
  <si>
    <t>W54</t>
  </si>
  <si>
    <t>20855608454/e-Social</t>
  </si>
  <si>
    <t>Recepção</t>
  </si>
  <si>
    <t>20906605562/e-Social</t>
  </si>
  <si>
    <t>Ruan Menezes Santos</t>
  </si>
  <si>
    <t>Técnico de Informática</t>
  </si>
  <si>
    <t>Dedos mão esquerda</t>
  </si>
  <si>
    <t>Abertura de porta de UBER</t>
  </si>
  <si>
    <t>S62.6</t>
  </si>
  <si>
    <t>21308747582/e-Social</t>
  </si>
  <si>
    <t>Clínica Cirúrgica 2</t>
  </si>
  <si>
    <t>Quadril</t>
  </si>
  <si>
    <t>21592218853/e-Social</t>
  </si>
  <si>
    <t>Lara Sobral Aragão</t>
  </si>
  <si>
    <t>Laboratório de Análise Clínica</t>
  </si>
  <si>
    <t>05.09.2023</t>
  </si>
  <si>
    <t>21589278458/e-Social</t>
  </si>
  <si>
    <t>Instrumentador Cirúrgico</t>
  </si>
  <si>
    <t>2176651189/e-Social</t>
  </si>
  <si>
    <t>Alessandro Rosa Lima</t>
  </si>
  <si>
    <t>UPIA</t>
  </si>
  <si>
    <t>Colisão entre veículo e moto</t>
  </si>
  <si>
    <t>21723655135/e-Social</t>
  </si>
  <si>
    <t>Celina Santos Almeida</t>
  </si>
  <si>
    <t>Farmácia Oncológica</t>
  </si>
  <si>
    <t>Y28.9</t>
  </si>
  <si>
    <t>22050775292/e-Social</t>
  </si>
  <si>
    <t>Laurinete Oliveira Silva</t>
  </si>
  <si>
    <t>Assistente Administrativo(a)</t>
  </si>
  <si>
    <t>Aparelho Digestivo</t>
  </si>
  <si>
    <t>Dejetos de animais peçonhentos</t>
  </si>
  <si>
    <t>A05.9</t>
  </si>
  <si>
    <t>22050775985/e-Social</t>
  </si>
  <si>
    <t>Jesus Henrique Nicola</t>
  </si>
  <si>
    <t>Enfermeiro(a)</t>
  </si>
  <si>
    <t>Antebraço direito</t>
  </si>
  <si>
    <t>W50</t>
  </si>
  <si>
    <t>22230292984/e-Social</t>
  </si>
  <si>
    <t>Andreza Ferreira da Silva Oliveira</t>
  </si>
  <si>
    <t>Rosto</t>
  </si>
  <si>
    <t>Ferimento superficial</t>
  </si>
  <si>
    <t>22246834829/e-Social</t>
  </si>
  <si>
    <t>Gidalva Ribeiro Batista</t>
  </si>
  <si>
    <t>Braços</t>
  </si>
  <si>
    <t>22548946769/e-Social</t>
  </si>
  <si>
    <t>Enfermaria SAD II</t>
  </si>
  <si>
    <t>SAD II</t>
  </si>
  <si>
    <t>22577418323/e-Social</t>
  </si>
  <si>
    <t>Carlos Valdir De Oliveira Neto</t>
  </si>
  <si>
    <t>UVS</t>
  </si>
  <si>
    <t>Partes Múltiplas</t>
  </si>
  <si>
    <t>22690263614/e-Social</t>
  </si>
  <si>
    <t>Mão esquerda</t>
  </si>
  <si>
    <t>Jelco</t>
  </si>
  <si>
    <t>z20.9</t>
  </si>
  <si>
    <t>22803145011/e-Social</t>
  </si>
  <si>
    <t>Josileide Maria Da Silva</t>
  </si>
  <si>
    <t>Agulha da Caneta de Insulina</t>
  </si>
  <si>
    <t>22853102424/e-Social</t>
  </si>
  <si>
    <t>23276616465/e-Social</t>
  </si>
  <si>
    <t>Cátia dos Santos</t>
  </si>
  <si>
    <t>Mãos</t>
  </si>
  <si>
    <t>23452235645/e-Social</t>
  </si>
  <si>
    <t>Valéria Cristina Doria de Souza</t>
  </si>
  <si>
    <t>CME 1</t>
  </si>
  <si>
    <t>Centro Cirúrgico ambulatorial</t>
  </si>
  <si>
    <t>Compasso oftalmológico</t>
  </si>
  <si>
    <t>23891485553/e-Social</t>
  </si>
  <si>
    <t>Enfermaria 4B</t>
  </si>
  <si>
    <t>Fluído de medicamento e sangue</t>
  </si>
  <si>
    <t>23898748839/e-Social</t>
  </si>
  <si>
    <t>Luciana de Carvalho Cardoso</t>
  </si>
  <si>
    <t>Posto de enfermagem</t>
  </si>
  <si>
    <t>Ombro e braço direito</t>
  </si>
  <si>
    <t>S40</t>
  </si>
  <si>
    <t>24006837902/e-Social</t>
  </si>
  <si>
    <t>Jessica Caroline dos Anjos Ferreira de Barros</t>
  </si>
  <si>
    <t>Z73.0</t>
  </si>
  <si>
    <t>24526501697/e-Social</t>
  </si>
  <si>
    <t>Sala de Estudos</t>
  </si>
  <si>
    <t>Corte terceiro dedo esquerdo</t>
  </si>
  <si>
    <t>Estrutura da cadeira</t>
  </si>
  <si>
    <t>24404948752/e-Social</t>
  </si>
  <si>
    <t>Senyra Maria das Neves</t>
  </si>
  <si>
    <t>Sala de Admissão - Centro Cirúrgico II</t>
  </si>
  <si>
    <t>Dedo - Polegar esquerdo</t>
  </si>
  <si>
    <t>Lanceta (glicemia)</t>
  </si>
  <si>
    <t>Y28</t>
  </si>
  <si>
    <t>24823086074/e-Social</t>
  </si>
  <si>
    <t>Ana de Fátima Santos Bravo</t>
  </si>
  <si>
    <t>Área externa</t>
  </si>
  <si>
    <t>UASCA</t>
  </si>
  <si>
    <t>Fratura pé esquerdo</t>
  </si>
  <si>
    <t>Piso irregular</t>
  </si>
  <si>
    <t>24892661566/e-Social</t>
  </si>
  <si>
    <t>Orleane Souza Rezende</t>
  </si>
  <si>
    <t>Avenida Álvaro Maciel</t>
  </si>
  <si>
    <t>Escoriações na pele</t>
  </si>
  <si>
    <t>24966530357/e-Social</t>
  </si>
  <si>
    <t>Jorão da Costa Sant´ana Rodrigues</t>
  </si>
  <si>
    <t>Técnico em Segurança do Trabalho</t>
  </si>
  <si>
    <t>Avenida João Ribeiro</t>
  </si>
  <si>
    <t>Contusão partes multiplas</t>
  </si>
  <si>
    <t>V29.9</t>
  </si>
  <si>
    <t>24923929409 e-Social</t>
  </si>
  <si>
    <t>Simone Francisca da Silva Tavares</t>
  </si>
  <si>
    <t>Setor de triagem do Laboratório</t>
  </si>
  <si>
    <t>Laboratório de Analise Clínicas</t>
  </si>
  <si>
    <t>Cóccix</t>
  </si>
  <si>
    <t>24975544979/e-Social</t>
  </si>
  <si>
    <t>Joseilda de Souza Oliveira Silva</t>
  </si>
  <si>
    <t>Sala 6 - Centro Cirúrgico II</t>
  </si>
  <si>
    <t>Agulha de Insulina</t>
  </si>
  <si>
    <t>25701961102/e-Social</t>
  </si>
  <si>
    <t>Alysson FellipeCosta Telles</t>
  </si>
  <si>
    <t>Biomédico</t>
  </si>
  <si>
    <t>Agência Transfusional</t>
  </si>
  <si>
    <t>Rack</t>
  </si>
  <si>
    <t>S00</t>
  </si>
  <si>
    <t>25808275959/e-Social</t>
  </si>
  <si>
    <t>Centro Cirúgico I</t>
  </si>
  <si>
    <t>09/052024</t>
  </si>
  <si>
    <t>Punho Esquerdo</t>
  </si>
  <si>
    <t>Queda do proprio nivel</t>
  </si>
  <si>
    <t>25963045783/e-Social</t>
  </si>
  <si>
    <t>Cátia Dos Santos</t>
  </si>
  <si>
    <t>Escadas</t>
  </si>
  <si>
    <t>Queda com diferença de nível</t>
  </si>
  <si>
    <t>259766607667/e-Social</t>
  </si>
  <si>
    <t>Valdineide Silva Santana</t>
  </si>
  <si>
    <t>Clínica Cirúgico I</t>
  </si>
  <si>
    <t>Clínica Cirúrgica I</t>
  </si>
  <si>
    <t>Caixa arquivo</t>
  </si>
  <si>
    <t>26129812167/e-Social</t>
  </si>
  <si>
    <t>Talita Wiltshire Soares Farias</t>
  </si>
  <si>
    <t>Agulha de Sutura</t>
  </si>
  <si>
    <t>SACP</t>
  </si>
  <si>
    <t>26167428709/e-Social</t>
  </si>
  <si>
    <t>Renata Caroline Macedo Raupp</t>
  </si>
  <si>
    <t>Sala de curativos do ambulatório</t>
  </si>
  <si>
    <t>Ambulatório de Cicatrização</t>
  </si>
  <si>
    <t>Cortador de unha</t>
  </si>
  <si>
    <t>26261914755/e-Social</t>
  </si>
  <si>
    <t>Marlene Maciel de Oliveira Vieira Garcez</t>
  </si>
  <si>
    <t>CME 1 - Desinfecção</t>
  </si>
  <si>
    <t>ponta do gancho de Goutier</t>
  </si>
  <si>
    <t>26418880240/e-Social</t>
  </si>
  <si>
    <t>Claudimara Carvalho Dos Santos</t>
  </si>
  <si>
    <t>UTI Adulta</t>
  </si>
  <si>
    <t>Olho esquerdo</t>
  </si>
  <si>
    <t>Secreção</t>
  </si>
  <si>
    <t>26490272088/e-Social</t>
  </si>
  <si>
    <t>Gabriela Ferreira da Costa Barbato</t>
  </si>
  <si>
    <t>UTI Pediátrica</t>
  </si>
  <si>
    <t>Quirodactilo (dedo) esquerdo</t>
  </si>
  <si>
    <t>Scalp</t>
  </si>
  <si>
    <t>26963121033/e- Social</t>
  </si>
  <si>
    <t>Polegar da mão Direita</t>
  </si>
  <si>
    <t>S61.1</t>
  </si>
  <si>
    <t>26919889485/e-Social</t>
  </si>
  <si>
    <t>Fernanda de Miranda Henriques Lins Porto</t>
  </si>
  <si>
    <t>Ambulatório Dermatologia</t>
  </si>
  <si>
    <t>Extensão Elétrica</t>
  </si>
  <si>
    <t>T00.6</t>
  </si>
  <si>
    <t>27020668855/e-Social</t>
  </si>
  <si>
    <t>Maria Angelica Alves Ribeiro</t>
  </si>
  <si>
    <t>27104887904/e-Social</t>
  </si>
  <si>
    <t>Sueli Aguiar Pereira Araújo</t>
  </si>
  <si>
    <t>Cirurgiã Dentista</t>
  </si>
  <si>
    <t>UDOPE</t>
  </si>
  <si>
    <t>Carro</t>
  </si>
  <si>
    <t>S60.1</t>
  </si>
  <si>
    <t>27971138952/e-Social</t>
  </si>
  <si>
    <t>SESS</t>
  </si>
  <si>
    <t>Plano de ação no SEI 23530.017897/2024-01.</t>
  </si>
  <si>
    <t>27947828428/e-Social</t>
  </si>
  <si>
    <t>Renata dos Santos da Luz</t>
  </si>
  <si>
    <t>Ombro direito</t>
  </si>
  <si>
    <t>M75.1</t>
  </si>
  <si>
    <t>27929004702/e-social</t>
  </si>
  <si>
    <t>Geisa Maria Oliveira</t>
  </si>
  <si>
    <t>Coluna Cervical</t>
  </si>
  <si>
    <t>V87.7</t>
  </si>
  <si>
    <t xml:space="preserve">27947828704/e-Social
</t>
  </si>
  <si>
    <t>Enfermeiro (a)</t>
  </si>
  <si>
    <t>Secreção com sangue</t>
  </si>
  <si>
    <t>27985459104/e-Social</t>
  </si>
  <si>
    <t>Simone Barbosa do Nascimento</t>
  </si>
  <si>
    <t>Unidade de Clínica Médica</t>
  </si>
  <si>
    <t>Hálux direito</t>
  </si>
  <si>
    <t>Queda de Cílindro</t>
  </si>
  <si>
    <t>28003414103/e-Social</t>
  </si>
  <si>
    <t>Maria Goretti Bruno Correia</t>
  </si>
  <si>
    <t>Assistente Adm.</t>
  </si>
  <si>
    <t>UNIAPO</t>
  </si>
  <si>
    <t>Tornozelo direito</t>
  </si>
  <si>
    <t xml:space="preserve">28053161285/e-Social
</t>
  </si>
  <si>
    <t>Passeio Via Pública do HU-UFS</t>
  </si>
  <si>
    <t xml:space="preserve">Mão direita e joelho </t>
  </si>
  <si>
    <t>Meio fio do passeio</t>
  </si>
  <si>
    <t>S80.0</t>
  </si>
  <si>
    <t xml:space="preserve">28167450980/e-Social
</t>
  </si>
  <si>
    <t>Leito 2 da UTI</t>
  </si>
  <si>
    <t>UTI adulto</t>
  </si>
  <si>
    <t>Secreção olho direito</t>
  </si>
  <si>
    <t>Desconexão acidental de traquéia do respirador</t>
  </si>
  <si>
    <t xml:space="preserve">28487323082/e-Social
</t>
  </si>
  <si>
    <t>Maria Tânia dos Santos</t>
  </si>
  <si>
    <t>Enfermaria 2 Leito 2B</t>
  </si>
  <si>
    <t>Contusão na cabeça, labio e punho direito</t>
  </si>
  <si>
    <t>Mangueira do equipo presa na grade da cama do paciente</t>
  </si>
  <si>
    <t>S00.5</t>
  </si>
  <si>
    <t xml:space="preserve">28711619133/e-Social
</t>
  </si>
  <si>
    <t>Auxiliadora Reis Souza</t>
  </si>
  <si>
    <t>Sala 47 Clínica Cirúrgica</t>
  </si>
  <si>
    <t>Corte dedo indicador direito</t>
  </si>
  <si>
    <t>Armário de açõ de uso hospitalar</t>
  </si>
  <si>
    <t xml:space="preserve">29028980075/e-Social
</t>
  </si>
  <si>
    <t>Juliana Oliveira Ribas Melo</t>
  </si>
  <si>
    <t>Ambulatório de quimioterapia e radioterapia</t>
  </si>
  <si>
    <t xml:space="preserve">Perfuração por agulha no antebraço direito </t>
  </si>
  <si>
    <t>29041734969/e-Social</t>
  </si>
  <si>
    <t>Wendel Bruno Bigí Dória</t>
  </si>
  <si>
    <t>Nefrologia</t>
  </si>
  <si>
    <t>Agulha de fístula</t>
  </si>
  <si>
    <t xml:space="preserve">29041735130/e-Social
</t>
  </si>
  <si>
    <t>Alvaro da Silva Santos</t>
  </si>
  <si>
    <t>Enfermaria 5</t>
  </si>
  <si>
    <t xml:space="preserve">29051973233/e-Social
</t>
  </si>
  <si>
    <t>Ione Márcia Moura dos Santos</t>
  </si>
  <si>
    <t>Estacionamento Anexo 2</t>
  </si>
  <si>
    <t>Perna direita</t>
  </si>
  <si>
    <t>Ferida provocada por mordida de cachorro</t>
  </si>
  <si>
    <t>29069226614/e-Social</t>
  </si>
  <si>
    <t>Midian Rodrigues da Silva</t>
  </si>
  <si>
    <t>Expurgo CME-2</t>
  </si>
  <si>
    <t>CME-2</t>
  </si>
  <si>
    <t>Agulha sutura</t>
  </si>
  <si>
    <t>29076024118/e-Social</t>
  </si>
  <si>
    <t>Unidade de Laboratório</t>
  </si>
  <si>
    <t>Enfermaria Pediatrica</t>
  </si>
  <si>
    <t>Z20.10</t>
  </si>
  <si>
    <t>29089167674/e-Social</t>
  </si>
  <si>
    <t>Liziana Maria Costa Santos</t>
  </si>
  <si>
    <t>Olho Esquerdo</t>
  </si>
  <si>
    <t>Porta de vidro</t>
  </si>
  <si>
    <t>S01.1</t>
  </si>
  <si>
    <t>29112007820/e-Socia</t>
  </si>
  <si>
    <t>Eliene Fonseca Lima Almeida</t>
  </si>
  <si>
    <t>Ser Humano(paciente)</t>
  </si>
  <si>
    <t>29100439757/e-Social</t>
  </si>
  <si>
    <t>Adriana de Carvalho Lima</t>
  </si>
  <si>
    <t>Centro Cirúgico II</t>
  </si>
  <si>
    <t xml:space="preserve">Mão direita  </t>
  </si>
  <si>
    <t>Lãmina de bisturi</t>
  </si>
  <si>
    <t>29811449633/ e-Social</t>
  </si>
  <si>
    <t>Apoio Diagnóstico</t>
  </si>
  <si>
    <t>dorso do pé esquerdo</t>
  </si>
  <si>
    <t>S.91</t>
  </si>
  <si>
    <t>29892156664/e-Social</t>
  </si>
  <si>
    <t>Aline Santos Santana</t>
  </si>
  <si>
    <t>Dedo anelar Esquerdo</t>
  </si>
  <si>
    <t>30079424793/e-Social</t>
  </si>
  <si>
    <t>Estacionemento/ marcenaria</t>
  </si>
  <si>
    <t>Calcanhar esquerdo</t>
  </si>
  <si>
    <t>S91.3</t>
  </si>
  <si>
    <t>30335995520/e-Social</t>
  </si>
  <si>
    <t>Danyelle Lima Santos</t>
  </si>
  <si>
    <t>Isolamento da oncologia</t>
  </si>
  <si>
    <t>Polegar direito</t>
  </si>
  <si>
    <t>Agulha gelco</t>
  </si>
  <si>
    <t>30439174210/e-Social</t>
  </si>
  <si>
    <t>Clínica Cirúrgica 01</t>
  </si>
  <si>
    <t>DENF</t>
  </si>
  <si>
    <t>Queda de nivel</t>
  </si>
  <si>
    <t>M25</t>
  </si>
  <si>
    <t>30383168660/e-Social</t>
  </si>
  <si>
    <t>Cláudia Gabriela Santos de Oliveira Santana</t>
  </si>
  <si>
    <t>Leito 3 da UTI Adulto</t>
  </si>
  <si>
    <t>UTI Adulto</t>
  </si>
  <si>
    <t>30424623414/e-Social</t>
  </si>
  <si>
    <t xml:space="preserve">Andreza Ferreira da Silva Oliveira </t>
  </si>
  <si>
    <t>Leito 2A</t>
  </si>
  <si>
    <t>Agressão por unha de Paciente</t>
  </si>
  <si>
    <t>S51.9</t>
  </si>
  <si>
    <t>30550013747/e-Social</t>
  </si>
  <si>
    <t>Ana Lucia da Silva</t>
  </si>
  <si>
    <t>Nariz e perna direita</t>
  </si>
  <si>
    <t>T0.7</t>
  </si>
  <si>
    <t>30911849293/e-Social</t>
  </si>
  <si>
    <t>Rafaella Ribeiro Vieira De Souza Leite</t>
  </si>
  <si>
    <t>Soro e Sangue</t>
  </si>
  <si>
    <t>31043915318/e-Social</t>
  </si>
  <si>
    <t>Claudia Patricia Souza Teles</t>
  </si>
  <si>
    <t>Passeio via pública</t>
  </si>
  <si>
    <t>Unidade de Metodos Gráficos</t>
  </si>
  <si>
    <t>Desnivel de piso</t>
  </si>
  <si>
    <t>T006</t>
  </si>
  <si>
    <t>31072028770/e-Social</t>
  </si>
  <si>
    <t>Ione Marcia Moura dos Santos</t>
  </si>
  <si>
    <t>Copa do Centro Cirúrgico 1</t>
  </si>
  <si>
    <t>Braço e mão esquerda</t>
  </si>
  <si>
    <t>Água quente</t>
  </si>
  <si>
    <t>31088455596/e-Social</t>
  </si>
  <si>
    <t>Luana de Gondra Mendonça</t>
  </si>
  <si>
    <t>31328745383//e-Social</t>
  </si>
  <si>
    <t>Celliany De Farias Queiroz Lima</t>
  </si>
  <si>
    <t>Tornozelo e joelho</t>
  </si>
  <si>
    <t>31474532796/e-Social</t>
  </si>
  <si>
    <t>Ana Lúcia Da Silva</t>
  </si>
  <si>
    <t>31435917154/e-Social</t>
  </si>
  <si>
    <t>Renata Dalseco Araujo</t>
  </si>
  <si>
    <t>Próximo ao Anexo II</t>
  </si>
  <si>
    <t>UGAP</t>
  </si>
  <si>
    <t>Mordida de cão</t>
  </si>
  <si>
    <t>31435916827/e-social</t>
  </si>
  <si>
    <t>Entre o prédio da CCBS e Anexo II</t>
  </si>
  <si>
    <t>Panturrilha direita</t>
  </si>
  <si>
    <t>W54.8</t>
  </si>
  <si>
    <t>31659329938/e-social</t>
  </si>
  <si>
    <t>Daniela Siqueira Prado</t>
  </si>
  <si>
    <t>Unidade Materno Infantil</t>
  </si>
  <si>
    <t>Agulha de sutura</t>
  </si>
  <si>
    <t>31786029972/e-social</t>
  </si>
  <si>
    <t>Amanda Vieira Barros</t>
  </si>
  <si>
    <t>Estacionamento</t>
  </si>
  <si>
    <t>Unidade de Licitação</t>
  </si>
  <si>
    <t>Mordida de cachorro</t>
  </si>
  <si>
    <t>31786039102/e-social</t>
  </si>
  <si>
    <t>Laboratório de Anatomia Patológica</t>
  </si>
  <si>
    <t>Trato respiratório</t>
  </si>
  <si>
    <t>Formol</t>
  </si>
  <si>
    <t>J68</t>
  </si>
  <si>
    <t>31916288173/e-social</t>
  </si>
  <si>
    <t>Hermogenes Henrique Bispo dos Santos</t>
  </si>
  <si>
    <t xml:space="preserve"> Humano (paciente)</t>
  </si>
  <si>
    <t>Y04.9</t>
  </si>
  <si>
    <t>31918255192/e-social</t>
  </si>
  <si>
    <t>Renata Oliveira Lima Silveira</t>
  </si>
  <si>
    <t>31985322422//e-social</t>
  </si>
  <si>
    <t>Maria Andréa Souza dos Santos Bastos</t>
  </si>
  <si>
    <t>Entre o prédio de Internamento e Anexo 1</t>
  </si>
  <si>
    <t>UCONTRA</t>
  </si>
  <si>
    <t>31994692641/e-social</t>
  </si>
  <si>
    <t>Geovane Albuquerque Silva</t>
  </si>
  <si>
    <t>32104698227/e-social</t>
  </si>
  <si>
    <t>Andrea Luiza de Oliveira Amorim</t>
  </si>
  <si>
    <t xml:space="preserve">Analista Administrativo </t>
  </si>
  <si>
    <t>Licitação</t>
  </si>
  <si>
    <t>Anexo II</t>
  </si>
  <si>
    <t>32258681295/e-Social</t>
  </si>
  <si>
    <t>Paulo Soares Gonzaga</t>
  </si>
  <si>
    <t>Clínica Médica</t>
  </si>
  <si>
    <t>Dedo polegar esquerdo</t>
  </si>
  <si>
    <t>Cateter</t>
  </si>
  <si>
    <t>32487701628/e-Social</t>
  </si>
  <si>
    <t>Denio Jose de souza Bispo</t>
  </si>
  <si>
    <t>Unid. Cabeça e Pescoço</t>
  </si>
  <si>
    <t>Dreno de Sucção</t>
  </si>
  <si>
    <t>Y28.2</t>
  </si>
  <si>
    <t>32438411366/e-social</t>
  </si>
  <si>
    <t>Roberta Aparecida Sousa de Oliveira</t>
  </si>
  <si>
    <t>U. de Diagnostico</t>
  </si>
  <si>
    <t>S93.2</t>
  </si>
  <si>
    <t>32527427194/e-social</t>
  </si>
  <si>
    <t>Detergente</t>
  </si>
  <si>
    <t>H57.1</t>
  </si>
  <si>
    <t>32541551765/e-social</t>
  </si>
  <si>
    <t>Vanessa Santeiro Santos</t>
  </si>
  <si>
    <t>Ambulatório de Saúde da Mulher</t>
  </si>
  <si>
    <t>Dedo médio mão direita</t>
  </si>
  <si>
    <t>Agulha gelco 24</t>
  </si>
  <si>
    <t>32527427460/e-social</t>
  </si>
  <si>
    <t>Glauciene dos Santos Viana</t>
  </si>
  <si>
    <t>Estacionamento Biomedicina</t>
  </si>
  <si>
    <t>Unid. Atenção Saúde da Mulher/Ambulatório de Pediatria</t>
  </si>
  <si>
    <t>Panturrilha esquerda</t>
  </si>
  <si>
    <t>32544694417/e-social</t>
  </si>
  <si>
    <t>Ana Maria da Silva</t>
  </si>
  <si>
    <t>Proximidades da cantina da vivencia</t>
  </si>
  <si>
    <t>32691066771/e-social</t>
  </si>
  <si>
    <t>Thaisa Raquel Menezes Lima Oliveira</t>
  </si>
  <si>
    <t>Formaldeido</t>
  </si>
  <si>
    <t>T59</t>
  </si>
  <si>
    <t>32771556404/e-social</t>
  </si>
  <si>
    <t>Igor Alexandre de Jesus Prado</t>
  </si>
  <si>
    <t>Técnico em Informática</t>
  </si>
  <si>
    <t>Antebraço e joelho direito</t>
  </si>
  <si>
    <t>Queda de motocicleta</t>
  </si>
  <si>
    <t>33734710146/e-social</t>
  </si>
  <si>
    <t>Ana Flávia Rocha de Carvalho</t>
  </si>
  <si>
    <t>33890529036/e-social</t>
  </si>
  <si>
    <t>Alex Rodrigues Moura</t>
  </si>
  <si>
    <t>Sala de cirurgia</t>
  </si>
  <si>
    <t>Terceiro quirodáctilo esquerdo</t>
  </si>
  <si>
    <t>Agulha hipodérmica</t>
  </si>
  <si>
    <t>33972719640/e-social</t>
  </si>
  <si>
    <t xml:space="preserve">Joana Darc Amorim de Albuquerque </t>
  </si>
  <si>
    <t>Saindo do Banheiro</t>
  </si>
  <si>
    <t>Tropeço ao sair do banheiro</t>
  </si>
  <si>
    <t>S92.</t>
  </si>
  <si>
    <t>34221895477/e-social</t>
  </si>
  <si>
    <t>Sala Cirúrgica 1</t>
  </si>
  <si>
    <t>Segundo e terceiro dedos do pé direito</t>
  </si>
  <si>
    <t>Perneira da maca operatória caiu sobre os dedos</t>
  </si>
  <si>
    <t>34394650662/e-social</t>
  </si>
  <si>
    <t>Adriana Rocha de Santana</t>
  </si>
  <si>
    <t>Entrada do Ambulatório</t>
  </si>
  <si>
    <t>Ser vivo (Cão)</t>
  </si>
  <si>
    <t>W55.5</t>
  </si>
  <si>
    <t>35014689496/e-social</t>
  </si>
  <si>
    <t>Leito 3</t>
  </si>
  <si>
    <t>Setor de Terapia Intensiva Adulta</t>
  </si>
  <si>
    <t>Jelco 18</t>
  </si>
  <si>
    <t>35257485167/e-social</t>
  </si>
  <si>
    <t>Natalie Pereira Velasco</t>
  </si>
  <si>
    <t>Expurgo oncologia</t>
  </si>
  <si>
    <t>Segundo quirodáctilo direito</t>
  </si>
  <si>
    <t>35332350711/e-social</t>
  </si>
  <si>
    <t xml:space="preserve">Douglas Nascimento Azevedo </t>
  </si>
  <si>
    <t>Dedo médio mão esquerda</t>
  </si>
  <si>
    <t>Agulha insulina</t>
  </si>
  <si>
    <t>35567914465/e-social</t>
  </si>
  <si>
    <t>Thamiris Pereira Santos</t>
  </si>
  <si>
    <t>Ressonância Magnética</t>
  </si>
  <si>
    <t>Dedo do pé esquerdo</t>
  </si>
  <si>
    <t>Bobina de Ressonância Magnética</t>
  </si>
  <si>
    <t>35700324294/e-social</t>
  </si>
  <si>
    <t>Shirley Santana Dantas</t>
  </si>
  <si>
    <t>Copa</t>
  </si>
  <si>
    <t>Enfermaria Clínica Cirúrgica</t>
  </si>
  <si>
    <t>Braços e costas</t>
  </si>
  <si>
    <t>T008</t>
  </si>
  <si>
    <t>35935776202/e-social</t>
  </si>
  <si>
    <t>José Andrade Santos</t>
  </si>
  <si>
    <t>Enfermaria Oncológica</t>
  </si>
  <si>
    <t>Deambulação de Paciente</t>
  </si>
  <si>
    <t>M25.52</t>
  </si>
  <si>
    <t>36114832040/e-social</t>
  </si>
  <si>
    <t>Laboratório de Análises Patológicas</t>
  </si>
  <si>
    <t>Membros Superiores</t>
  </si>
  <si>
    <t>Formol no ar</t>
  </si>
  <si>
    <t>L24</t>
  </si>
  <si>
    <t>36557732747/e-social</t>
  </si>
  <si>
    <t>Geisa Maria Oliveira Pinheiro</t>
  </si>
  <si>
    <t>Face e antebraço</t>
  </si>
  <si>
    <t>V89.9</t>
  </si>
  <si>
    <t>36720368852/e-social</t>
  </si>
  <si>
    <t>Andréa Souza Daltro</t>
  </si>
  <si>
    <t>Enfermaria 4</t>
  </si>
  <si>
    <t>Couro cabeludo</t>
  </si>
  <si>
    <t>Pediculose</t>
  </si>
  <si>
    <t>B85</t>
  </si>
  <si>
    <t>37259595859/e-social</t>
  </si>
  <si>
    <t>Luana de Aragão Siqueira Hilário</t>
  </si>
  <si>
    <t>Ambulatório Clínica Médica 1</t>
  </si>
  <si>
    <t>Agulha apucultura</t>
  </si>
  <si>
    <t>37305026240/e-social</t>
  </si>
  <si>
    <t>Renata Dutra Torres Moura</t>
  </si>
  <si>
    <t>Macroscopia</t>
  </si>
  <si>
    <t>Laboratório Patologia</t>
  </si>
  <si>
    <t>Dedo Terceiro Esquerdo</t>
  </si>
  <si>
    <t>Navalha</t>
  </si>
  <si>
    <t>37339887270/e-social</t>
  </si>
  <si>
    <t>Ana Telma Ribeiro de Souza</t>
  </si>
  <si>
    <t>Braço direito</t>
  </si>
  <si>
    <t>Paciente</t>
  </si>
  <si>
    <t>37923365230/e-social</t>
  </si>
  <si>
    <t>Jaclécia Santana Do Vasco</t>
  </si>
  <si>
    <t>38540502132/e-social</t>
  </si>
  <si>
    <t>Jamille Santos de Carvalho Oliveira</t>
  </si>
  <si>
    <t>38603650348/e-social</t>
  </si>
  <si>
    <t>Banheiro do setor de trabalho</t>
  </si>
  <si>
    <t>Serviço de Terapia Intensiva Pediátrica</t>
  </si>
  <si>
    <t>Pulso Direito</t>
  </si>
  <si>
    <t>Objeto cortante</t>
  </si>
  <si>
    <t>F43.0 ; X78</t>
  </si>
  <si>
    <t>39185354899/e-social</t>
  </si>
  <si>
    <t>Via pública</t>
  </si>
  <si>
    <t>38621291157/e-social</t>
  </si>
  <si>
    <t>Renata Lisboa Barbosa Lima</t>
  </si>
  <si>
    <t>CAF</t>
  </si>
  <si>
    <t>Joelho direito</t>
  </si>
  <si>
    <t>Queda de escada</t>
  </si>
  <si>
    <t>W10</t>
  </si>
  <si>
    <t>39254356207/e-social</t>
  </si>
  <si>
    <t>Área Suja</t>
  </si>
  <si>
    <t>Fluido contaminado</t>
  </si>
  <si>
    <t>39418207490/e-social</t>
  </si>
  <si>
    <t>José Roberto Dos Santos</t>
  </si>
  <si>
    <t>Queda de cadeira</t>
  </si>
  <si>
    <t>W07</t>
  </si>
  <si>
    <t>40151769044/e-social</t>
  </si>
  <si>
    <t>Renata Caroline Macedo Raopp</t>
  </si>
  <si>
    <t>Leito 8 - Anexo II</t>
  </si>
  <si>
    <t>40568731009/e-social</t>
  </si>
  <si>
    <t>Alex Santos Cruz</t>
  </si>
  <si>
    <t>40712287695/e-social</t>
  </si>
  <si>
    <t>Tatiana de Alcantara costa</t>
  </si>
  <si>
    <t>Hemodinâmica</t>
  </si>
  <si>
    <t>Y29</t>
  </si>
  <si>
    <t>40922785892/e-social</t>
  </si>
  <si>
    <t>Maria Angelica Rodrigues Santos</t>
  </si>
  <si>
    <t>Corredor do Primeiro Andar</t>
  </si>
  <si>
    <t>Central de Prontuários</t>
  </si>
  <si>
    <t>Ambos os Calcanhares</t>
  </si>
  <si>
    <t>Carrinho de Transporte de roupas</t>
  </si>
  <si>
    <t>S80.1</t>
  </si>
  <si>
    <t>40943089183/e-social</t>
  </si>
  <si>
    <t>Escada da DIVGP</t>
  </si>
  <si>
    <t>Serviço Social</t>
  </si>
  <si>
    <t>41085510743/e-social</t>
  </si>
  <si>
    <t>Escada saindo anexo I</t>
  </si>
  <si>
    <t>DENF – SACP</t>
  </si>
  <si>
    <t>41262916866/e-social</t>
  </si>
  <si>
    <t>Escada móvel arsenal centro cirúrgico</t>
  </si>
  <si>
    <t>Escada móvel</t>
  </si>
  <si>
    <t>41110319953/e-social</t>
  </si>
  <si>
    <t>Centro Cirúrgico Pediátrico</t>
  </si>
  <si>
    <t>Tesoura de Iris</t>
  </si>
  <si>
    <t>41263368878/e-social</t>
  </si>
  <si>
    <t>S42.0</t>
  </si>
  <si>
    <t>41577032055/e-social</t>
  </si>
  <si>
    <t>Polegar mão esquerda</t>
  </si>
  <si>
    <t>41577033089/e-social</t>
  </si>
  <si>
    <t>Maria Quitéria dos Santos</t>
  </si>
  <si>
    <t>S60.0</t>
  </si>
  <si>
    <t>41681339467/e-social</t>
  </si>
  <si>
    <t>Joyce Santos de Souza</t>
  </si>
  <si>
    <t xml:space="preserve">Enfermaria </t>
  </si>
  <si>
    <t>41883609328/e-social</t>
  </si>
  <si>
    <t>Graziela Bispo Calderaro</t>
  </si>
  <si>
    <t>Cabos de suporte de cama hospitalar</t>
  </si>
  <si>
    <t>42125047737/e-social</t>
  </si>
  <si>
    <t>Edilma da Trindade Costa</t>
  </si>
  <si>
    <t>42325049458/ e-Social</t>
  </si>
  <si>
    <t>Ana Paula Pereira Menezes</t>
  </si>
  <si>
    <t xml:space="preserve">Máquina </t>
  </si>
  <si>
    <t>42886800754 / e-Social</t>
  </si>
  <si>
    <t>Matheus Gama Lima</t>
  </si>
  <si>
    <t>Eng. Clínica</t>
  </si>
  <si>
    <t>Parte múltipla (cotovelo e perna direita)</t>
  </si>
  <si>
    <t>Acidente de trânsito</t>
  </si>
  <si>
    <t>V13</t>
  </si>
  <si>
    <t>43051342568 / e-Social</t>
  </si>
  <si>
    <t>Talyta Mecenas Galvão Arcanjo</t>
  </si>
  <si>
    <t>Enfermaria 3A</t>
  </si>
  <si>
    <t xml:space="preserve">Agressão </t>
  </si>
  <si>
    <t>S51.8</t>
  </si>
  <si>
    <t>43087316554/e-Social</t>
  </si>
  <si>
    <t>Enfermaria</t>
  </si>
  <si>
    <t>Agulha de insulina</t>
  </si>
  <si>
    <t>Obs:</t>
  </si>
  <si>
    <t>Quantidade de dias gerados por atestados</t>
  </si>
  <si>
    <t>EBSERH – 2026</t>
  </si>
  <si>
    <t>MENOS</t>
  </si>
  <si>
    <t>Total</t>
  </si>
  <si>
    <t>TERCEIRIZADA</t>
  </si>
  <si>
    <t>5 ACIDENTES</t>
  </si>
  <si>
    <t>Média Mês</t>
  </si>
  <si>
    <t>noite</t>
  </si>
  <si>
    <t>21 as 5</t>
  </si>
  <si>
    <t>CONTRATADAS</t>
  </si>
  <si>
    <t>tarde</t>
  </si>
  <si>
    <t>13 as 21</t>
  </si>
  <si>
    <t>I</t>
  </si>
  <si>
    <t>Lotação funcionário</t>
  </si>
  <si>
    <t>manhã</t>
  </si>
  <si>
    <t>5 as 13</t>
  </si>
  <si>
    <t>DIAS</t>
  </si>
  <si>
    <t>L</t>
  </si>
  <si>
    <t>Data emissão CAT</t>
  </si>
  <si>
    <t>GERAL</t>
  </si>
  <si>
    <t>D&amp;L</t>
  </si>
  <si>
    <t>Dias por ano</t>
  </si>
  <si>
    <t>Por Sexo</t>
  </si>
  <si>
    <t>Por Função</t>
  </si>
  <si>
    <t>Por Mês</t>
  </si>
  <si>
    <t>Por Setor</t>
  </si>
  <si>
    <t>Tipo De Acidente</t>
  </si>
  <si>
    <t>CID 10</t>
  </si>
  <si>
    <t>Dias de Afastamento</t>
  </si>
  <si>
    <t>Total de Dias de Afastamento</t>
  </si>
  <si>
    <t>Masc</t>
  </si>
  <si>
    <t>Jan</t>
  </si>
  <si>
    <t>Fem</t>
  </si>
  <si>
    <t>Fev</t>
  </si>
  <si>
    <t>De Trajeto</t>
  </si>
  <si>
    <t>Mar</t>
  </si>
  <si>
    <t>Doença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</si>
  <si>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</si>
  <si>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</si>
  <si>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</si>
  <si>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</si>
  <si>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</si>
  <si>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</si>
  <si>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</si>
  <si>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</si>
  <si>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</si>
  <si>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Exforço ecessivo</t>
  </si>
  <si>
    <t>Ambulatório Sala 79</t>
  </si>
  <si>
    <t>Enfermeira(a)</t>
  </si>
  <si>
    <t>Enefermeiro (a)</t>
  </si>
  <si>
    <t>Centro Cirúrgico 3</t>
  </si>
  <si>
    <t>Técnica(a) de Enfermagem</t>
  </si>
  <si>
    <t>Ferramenta, Máquina, Equipamento, Veiculo NIC.</t>
  </si>
  <si>
    <t>Médico(a)</t>
  </si>
  <si>
    <t>Produto Biológico</t>
  </si>
  <si>
    <t>Biomédico (a)</t>
  </si>
  <si>
    <t>Água</t>
  </si>
  <si>
    <t>Farmaceutico (a)</t>
  </si>
  <si>
    <t>Motocicleta, Motoneta</t>
  </si>
  <si>
    <t>Psicologo (a)</t>
  </si>
  <si>
    <t>Técnico em Laboratório (a)</t>
  </si>
  <si>
    <t>Queda de Pessoa com diferença de Nível</t>
  </si>
  <si>
    <t>Dermatologia</t>
  </si>
  <si>
    <t>Impacto Sofrido por pessoa</t>
  </si>
  <si>
    <t>Contato com Pessoa doente</t>
  </si>
  <si>
    <t>Clinica Cirúrgica I</t>
  </si>
  <si>
    <t>Arquivo, Fichário</t>
  </si>
  <si>
    <t>Punção, Ponteiro, Vazador</t>
  </si>
  <si>
    <t>Ambulatório de Fisioterapia</t>
  </si>
  <si>
    <t>Via Publica</t>
  </si>
  <si>
    <t>Cadeira, Banco</t>
  </si>
  <si>
    <t>S30.9</t>
  </si>
  <si>
    <t>Patrimonio</t>
  </si>
  <si>
    <t>Equipamento de Aquecimento elétrico</t>
  </si>
  <si>
    <t>Un. reabilitação</t>
  </si>
  <si>
    <t>Rampa</t>
  </si>
  <si>
    <t>Ser vivo NIC.</t>
  </si>
  <si>
    <t>Farmacêutica(a)</t>
  </si>
  <si>
    <t xml:space="preserve"> ESTATÍSTICA DOS ACIDENTES NO PERÍODO</t>
  </si>
  <si>
    <t>SEXO</t>
  </si>
  <si>
    <t>DADOS:</t>
  </si>
  <si>
    <t>TOTAL</t>
  </si>
  <si>
    <t>%</t>
  </si>
  <si>
    <t>Urina</t>
  </si>
  <si>
    <t>FEMININO</t>
  </si>
  <si>
    <t>Coxa</t>
  </si>
  <si>
    <t>MASCULINO</t>
  </si>
  <si>
    <t>Acidentes por Ano</t>
  </si>
  <si>
    <t>MEMBRO   ATINGIDO</t>
  </si>
  <si>
    <r>
      <rPr>
        <b/>
        <sz val="11"/>
        <color rgb="FF000000"/>
        <rFont val="Liberation Sans1"/>
        <charset val="1"/>
      </rPr>
      <t>1</t>
    </r>
    <r>
      <rPr>
        <sz val="11"/>
        <color rgb="FF000000"/>
        <rFont val="Liberation Sans1"/>
        <charset val="1"/>
      </rPr>
      <t>º</t>
    </r>
  </si>
  <si>
    <t>UTI-Covid</t>
  </si>
  <si>
    <t>Acidentes por Mês</t>
  </si>
  <si>
    <t>Enfermaria-Covid</t>
  </si>
  <si>
    <t>Fluído gastrico</t>
  </si>
  <si>
    <r>
      <rPr>
        <b/>
        <sz val="11"/>
        <color rgb="FF000000"/>
        <rFont val="Liberation Sans1"/>
        <charset val="1"/>
      </rPr>
      <t>3</t>
    </r>
    <r>
      <rPr>
        <sz val="11"/>
        <color rgb="FF000000"/>
        <rFont val="Liberation Sans1"/>
        <charset val="1"/>
      </rPr>
      <t>º</t>
    </r>
  </si>
  <si>
    <t>Laboratório de Análise Clínicas</t>
  </si>
  <si>
    <t>Laminula</t>
  </si>
  <si>
    <r>
      <rPr>
        <b/>
        <sz val="11"/>
        <color rgb="FF000000"/>
        <rFont val="Liberation Sans1"/>
        <charset val="1"/>
      </rPr>
      <t>4</t>
    </r>
    <r>
      <rPr>
        <sz val="11"/>
        <color rgb="FF000000"/>
        <rFont val="Liberation Sans1"/>
        <charset val="1"/>
      </rPr>
      <t>º</t>
    </r>
  </si>
  <si>
    <t>Partes multiplas</t>
  </si>
  <si>
    <t>Perna/Coxa</t>
  </si>
  <si>
    <t>Didática – 1</t>
  </si>
  <si>
    <t>Mordedura</t>
  </si>
  <si>
    <t>P. Múltiplas</t>
  </si>
  <si>
    <r>
      <rPr>
        <b/>
        <sz val="11"/>
        <color rgb="FF000000"/>
        <rFont val="Liberation Sans1"/>
        <charset val="1"/>
      </rPr>
      <t>2</t>
    </r>
    <r>
      <rPr>
        <sz val="11"/>
        <color rgb="FF000000"/>
        <rFont val="Liberation Sans1"/>
        <charset val="1"/>
      </rPr>
      <t>º</t>
    </r>
  </si>
  <si>
    <t>Tronco</t>
  </si>
  <si>
    <r>
      <rPr>
        <b/>
        <sz val="11"/>
        <color rgb="FF000000"/>
        <rFont val="Liberation Sans1"/>
        <charset val="1"/>
      </rPr>
      <t>5</t>
    </r>
    <r>
      <rPr>
        <sz val="11"/>
        <color rgb="FF000000"/>
        <rFont val="Liberation Sans1"/>
        <charset val="1"/>
      </rPr>
      <t>º</t>
    </r>
  </si>
  <si>
    <t>Lombo sacra</t>
  </si>
  <si>
    <t>Tornozelo/Calcanhar</t>
  </si>
  <si>
    <t>Dorso</t>
  </si>
  <si>
    <t>Orofaringe/ Trato respiratório</t>
  </si>
  <si>
    <t>Ante Braço</t>
  </si>
  <si>
    <t xml:space="preserve"> CAUSA DOS ACIDESNTES</t>
  </si>
  <si>
    <t>BISTURI/NAVALHA</t>
  </si>
  <si>
    <t>PERFURO CORTANTE</t>
  </si>
  <si>
    <t>AGULHA/Agulha Gelco 18</t>
  </si>
  <si>
    <t>Técnico(a) De Enfermagem</t>
  </si>
  <si>
    <t>Ataque de Ser Vivo (Paciente)</t>
  </si>
  <si>
    <t>Material biológico (água, sangue)</t>
  </si>
  <si>
    <t>Prateleira de Vidro</t>
  </si>
  <si>
    <t>URINA/PIOLHO</t>
  </si>
  <si>
    <t>MATERIAL BIOLÓGICO</t>
  </si>
  <si>
    <t>GRAMPO/PREGO/Bobina Ressonância</t>
  </si>
  <si>
    <t>Técnico(a) De Enfermagem do Trabalho</t>
  </si>
  <si>
    <t>Dorso lombar da coluna vertebral</t>
  </si>
  <si>
    <t>CANETA BISTURI</t>
  </si>
  <si>
    <t>Postura Incorreta</t>
  </si>
  <si>
    <t>Tapete identificação Deficiente Visual</t>
  </si>
  <si>
    <t>Tapete</t>
  </si>
  <si>
    <t>Oncologia Anexo</t>
  </si>
  <si>
    <t>PRANCHETA</t>
  </si>
  <si>
    <t>Colisão com veículo</t>
  </si>
  <si>
    <t>S63.6</t>
  </si>
  <si>
    <t>Corpo Estranho</t>
  </si>
  <si>
    <t>S936</t>
  </si>
  <si>
    <t>PESO</t>
  </si>
  <si>
    <t>COVID-19</t>
  </si>
  <si>
    <t>Clínica Cirúrgica 02</t>
  </si>
  <si>
    <t>Não uso de EPI</t>
  </si>
  <si>
    <t>DESATENÇÃO</t>
  </si>
  <si>
    <t>Queda de Motocicleta</t>
  </si>
  <si>
    <t>ESTILETE/Tesoura</t>
  </si>
  <si>
    <t>Peso excessivo</t>
  </si>
  <si>
    <t>PRATELEIRA DE VIDRO</t>
  </si>
  <si>
    <t>COVID 19</t>
  </si>
  <si>
    <t>AUTOCLAVE</t>
  </si>
  <si>
    <t>Carro autoclave</t>
  </si>
  <si>
    <t>BANDEJA</t>
  </si>
  <si>
    <t>Maca/Carrinho roupa</t>
  </si>
  <si>
    <t>CHUTE</t>
  </si>
  <si>
    <t>Peso</t>
  </si>
  <si>
    <t>ÁGUA QUENTE</t>
  </si>
  <si>
    <t>DOENÇA</t>
  </si>
  <si>
    <t>TRAQUÉIA</t>
  </si>
  <si>
    <t>MORDIDA</t>
  </si>
  <si>
    <t>CALÇADA</t>
  </si>
  <si>
    <t>FACA/CORTADOR DE UNHA</t>
  </si>
  <si>
    <t>ESCADA</t>
  </si>
  <si>
    <t>MOBILIARIO</t>
  </si>
  <si>
    <t>Mas</t>
  </si>
  <si>
    <t>Chute</t>
  </si>
  <si>
    <t>SUB. QUÍMICA</t>
  </si>
  <si>
    <t>Técnico(a) De Radiologia</t>
  </si>
  <si>
    <t>Respingo Quimioterápico</t>
  </si>
  <si>
    <t>LONGARINA/GALHO</t>
  </si>
  <si>
    <t>Punhos e Joelhos</t>
  </si>
  <si>
    <t>Desatenção</t>
  </si>
  <si>
    <t>VIGA</t>
  </si>
  <si>
    <t>Desnível elevador</t>
  </si>
  <si>
    <t>QUEDA/piso/Buraco no chão</t>
  </si>
  <si>
    <t>Mamografia (Anexo)</t>
  </si>
  <si>
    <t>Face e olho</t>
  </si>
  <si>
    <t>Respingo de líquido com sangue</t>
  </si>
  <si>
    <t>FECHADURA</t>
  </si>
  <si>
    <t>CUSPIDA</t>
  </si>
  <si>
    <t>Projeção de Contraste (líquido) no olho</t>
  </si>
  <si>
    <t>PUNÇÃO/ferramenta</t>
  </si>
  <si>
    <t>Orofaringe</t>
  </si>
  <si>
    <t>Maca</t>
  </si>
  <si>
    <t>AGRESSÃO</t>
  </si>
  <si>
    <t>CABO ELÉTRICO</t>
  </si>
  <si>
    <t>Setor de regulação e Avaliação em Saúde</t>
  </si>
  <si>
    <t>Clavícula e costelas</t>
  </si>
  <si>
    <t>FLUIDO</t>
  </si>
  <si>
    <t>Acidente trânsito</t>
  </si>
  <si>
    <t>LAMINULA</t>
  </si>
  <si>
    <t>Autoclave</t>
  </si>
  <si>
    <t>ACESSO VENOSO/ Dreno</t>
  </si>
  <si>
    <t>Perna e ombro</t>
  </si>
  <si>
    <t>Piso do corredor</t>
  </si>
  <si>
    <t>VEICULO/MOTO</t>
  </si>
  <si>
    <t>TOTAL ACIDENTES</t>
  </si>
  <si>
    <t>SETORES  DE OCORRÊNCIA  DOS  ACIDENTES</t>
  </si>
  <si>
    <t>Meio Ambiente</t>
  </si>
  <si>
    <t>Unidade Reabilitação</t>
  </si>
  <si>
    <t>Lombo Sacro Direita</t>
  </si>
  <si>
    <t>Analísta Administrativo - Relações Públicas</t>
  </si>
  <si>
    <t>Piso Úmido</t>
  </si>
  <si>
    <t>Piso molhado</t>
  </si>
  <si>
    <t>Farmaceutica</t>
  </si>
  <si>
    <t>Centro Cirúgico 2</t>
  </si>
  <si>
    <t>LAC</t>
  </si>
  <si>
    <t>Centro Cirúgico 1</t>
  </si>
  <si>
    <t>Estrutura Física</t>
  </si>
  <si>
    <t>Divisão Enfermag</t>
  </si>
  <si>
    <t>Analista Administrativo – Jornalismo</t>
  </si>
  <si>
    <t>Stress</t>
  </si>
  <si>
    <t>Unid. Vigil. Saúde</t>
  </si>
  <si>
    <t>Animal vivo (Cão)</t>
  </si>
  <si>
    <t>Unidade Arquivos</t>
  </si>
  <si>
    <t>Patologia</t>
  </si>
  <si>
    <t>Colonoscopia</t>
  </si>
  <si>
    <t>Porta aberta de veículo</t>
  </si>
  <si>
    <t>Fluidos Orgânicos</t>
  </si>
  <si>
    <t>Enfermaria Covid</t>
  </si>
  <si>
    <t>Veículo</t>
  </si>
  <si>
    <t>Div. GP</t>
  </si>
  <si>
    <t>Animais peçonhentos</t>
  </si>
  <si>
    <t>Fisioterapia</t>
  </si>
  <si>
    <t>Ataqui de Ser Vivo</t>
  </si>
  <si>
    <t>Centro Cirúrgico Ambulatorial</t>
  </si>
  <si>
    <t>Fluidos, secreção e sangue</t>
  </si>
  <si>
    <t>Central de Prontuário</t>
  </si>
  <si>
    <t>Entrada Anexo</t>
  </si>
  <si>
    <t>Psicológico</t>
  </si>
  <si>
    <t>Burnout</t>
  </si>
  <si>
    <t>Dedo esquerdo</t>
  </si>
  <si>
    <t>Piso da rua irregular</t>
  </si>
  <si>
    <t>Técnica em Laboratório(a)</t>
  </si>
  <si>
    <t>Laboratório</t>
  </si>
  <si>
    <t>Lanceta</t>
  </si>
  <si>
    <t>Número de atestados no período</t>
  </si>
  <si>
    <t>Assist. Adm.</t>
  </si>
  <si>
    <t>Setor de Regulação e Avaliação</t>
  </si>
  <si>
    <t>Dedo Direito</t>
  </si>
  <si>
    <t>Agencia Transfusional</t>
  </si>
  <si>
    <t>Piso Molhado</t>
  </si>
  <si>
    <t>Alicate de unha</t>
  </si>
  <si>
    <t>FONTE: ATUALIZADA EM 21/12/2023 EM 39 ACIDENTES</t>
  </si>
  <si>
    <t>hálux Direito</t>
  </si>
  <si>
    <t>Ampola</t>
  </si>
  <si>
    <t>CUSTO SUPERFICIAL DOS AFASTAMENTOS – 2021</t>
  </si>
  <si>
    <t>Ambulatório Oncologia</t>
  </si>
  <si>
    <t>ANO</t>
  </si>
  <si>
    <t>PROFISSIONAL</t>
  </si>
  <si>
    <t>QUANTIDADE</t>
  </si>
  <si>
    <t>VALORES</t>
  </si>
  <si>
    <t>PROFISSIONAIS</t>
  </si>
  <si>
    <t>Galho</t>
  </si>
  <si>
    <t>TÉCNICOS DE ENFERMAGEM</t>
  </si>
  <si>
    <t>Reabilitação</t>
  </si>
  <si>
    <t>FISIOTERAPEUTA</t>
  </si>
  <si>
    <t>Apoio diagnóstico</t>
  </si>
  <si>
    <t>Queda de Cilindro</t>
  </si>
  <si>
    <t>ASSISTENTE ADMINISTRATIVO</t>
  </si>
  <si>
    <t>Mangueira de equipo presa na grade da cama de paciente</t>
  </si>
  <si>
    <t>Cachorro</t>
  </si>
  <si>
    <t>Ser vivo (Paciente)</t>
  </si>
  <si>
    <t>S91</t>
  </si>
  <si>
    <t>DETALHAMENTO RESUMIDO DOS CUSTOS COM AFASTAMENTO</t>
  </si>
  <si>
    <t>Nº</t>
  </si>
  <si>
    <t>NOME</t>
  </si>
  <si>
    <t>FUNÇÃO</t>
  </si>
  <si>
    <t>SALÁRIO</t>
  </si>
  <si>
    <t>CUSTO EQUIVALENTE</t>
  </si>
  <si>
    <t>SUZI ANDREA</t>
  </si>
  <si>
    <t>TE</t>
  </si>
  <si>
    <t>GUSTAVO MELO</t>
  </si>
  <si>
    <t>FISIO</t>
  </si>
  <si>
    <t>ROSALENA DOS SANTOS</t>
  </si>
  <si>
    <t>Agulha Jelco</t>
  </si>
  <si>
    <t>SUELY FARIAS</t>
  </si>
  <si>
    <t>ANA PAULA</t>
  </si>
  <si>
    <t>Unha</t>
  </si>
  <si>
    <t>JOSÉ ROBERTO</t>
  </si>
  <si>
    <t>Analista Administrativo</t>
  </si>
  <si>
    <t>Clínica Cirurgica 1</t>
  </si>
  <si>
    <t>Tornozelo E</t>
  </si>
  <si>
    <t>Queda de nível</t>
  </si>
  <si>
    <t>ALESSANDRA DE OLIVEIRA</t>
  </si>
  <si>
    <t>CME - 2</t>
  </si>
  <si>
    <t>Barreira de contenção</t>
  </si>
  <si>
    <t>ANGELICA MARIA OLIVEIRA</t>
  </si>
  <si>
    <t>ASS. ADM.</t>
  </si>
  <si>
    <t>JAILMA F. DE OLIVEIRA SOUZA</t>
  </si>
  <si>
    <t>Desnível do piso</t>
  </si>
  <si>
    <t>Braço e mão</t>
  </si>
  <si>
    <t xml:space="preserve">Tornozelo Esquerdo e Joelho direito </t>
  </si>
  <si>
    <t>Dedo Indicador</t>
  </si>
  <si>
    <t>Mordida de Cão</t>
  </si>
  <si>
    <t>Panturrinha</t>
  </si>
  <si>
    <t>Ser vivo(Homem)</t>
  </si>
  <si>
    <t>y04.9</t>
  </si>
  <si>
    <t>Média de dias por afastamento</t>
  </si>
  <si>
    <t>Antebraço e joelho</t>
  </si>
  <si>
    <t>Aparelho respiratório</t>
  </si>
  <si>
    <t>Terceiro quirodáctilo</t>
  </si>
  <si>
    <t xml:space="preserve">Unidade Diagnostico </t>
  </si>
  <si>
    <t>Pe</t>
  </si>
  <si>
    <t>Dedos pé</t>
  </si>
  <si>
    <t>Rodovia escorregadia</t>
  </si>
  <si>
    <t>Clínica Cirurgica 2</t>
  </si>
  <si>
    <t>Dedo médio</t>
  </si>
  <si>
    <t>UASM</t>
  </si>
  <si>
    <t>Dedo do pé</t>
  </si>
  <si>
    <t>Perneira da maca</t>
  </si>
  <si>
    <t>ASM</t>
  </si>
  <si>
    <t>Cotovelo Esquerdo</t>
  </si>
  <si>
    <t>SPGTI</t>
  </si>
  <si>
    <t>Bobina</t>
  </si>
  <si>
    <t>Oncologia Enfermaria</t>
  </si>
  <si>
    <t>Ressonância magnética</t>
  </si>
  <si>
    <t>Piolho</t>
  </si>
  <si>
    <t>Queda com diferença de nivel</t>
  </si>
  <si>
    <t xml:space="preserve">Centro Cirúrgico </t>
  </si>
  <si>
    <t xml:space="preserve">Dedo </t>
  </si>
  <si>
    <t xml:space="preserve">Antebraço </t>
  </si>
  <si>
    <t>Dedo médio Esquerdo</t>
  </si>
  <si>
    <t>Agulha Acupultura</t>
  </si>
  <si>
    <t>Agulha de seringa</t>
  </si>
  <si>
    <t>Água de lavagem de materiais contaminados</t>
  </si>
  <si>
    <t>Carrinho de Roupa</t>
  </si>
  <si>
    <t>Tesoura de Íris</t>
  </si>
  <si>
    <t>Ampola medicamento</t>
  </si>
  <si>
    <t>Máquina</t>
  </si>
  <si>
    <t>42347840325/ e-Social</t>
  </si>
  <si>
    <t>Tenise Cleia Santana Mendonça</t>
  </si>
  <si>
    <t>Z20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</si>
</sst>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R$-416]\ #,##0.00;[Red]\-[$R$-416]\ #,##0.00"/>
    <numFmt numFmtId="165" formatCode="00"/>
    <numFmt numFmtId="166" formatCode="d/m/yyyy"/>
    <numFmt numFmtId="167" formatCode="hh\:mm"/>
    <numFmt numFmtId="168" formatCode="d/m/yy"/>
    <numFmt numFmtId="169" formatCode="#,##0_);[Red]\(#,##0\)"/>
    <numFmt numFmtId="170" formatCode="h\:mm\ AM/PM"/>
    <numFmt numFmtId="171" formatCode="d/m/yy\ hh\:mm"/>
  </numFmts>
  <fonts count="36">
    <font>
      <sz val="11"/>
      <color rgb="FF000000"/>
      <name val="Liberation Sans1"/>
      <charset val="1"/>
    </font>
    <font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b/>
      <sz val="10"/>
      <color rgb="FFFFFFFF"/>
      <name val="Liberation Sans1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b/>
      <i/>
      <sz val="16"/>
      <color rgb="FF000000"/>
      <name val="Liberation Sans1"/>
      <charset val="1"/>
    </font>
    <font>
      <sz val="12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996600"/>
      <name val="Liberation Sans1"/>
      <charset val="1"/>
    </font>
    <font>
      <sz val="10"/>
      <color rgb="FF333333"/>
      <name val="Liberation Sans1"/>
      <charset val="1"/>
    </font>
    <font>
      <b/>
      <i/>
      <u/>
      <sz val="11"/>
      <color rgb="FF000000"/>
      <name val="Liberation Sans1"/>
      <charset val="1"/>
    </font>
    <font>
      <b/>
      <sz val="11"/>
      <color rgb="FF000000"/>
      <name val="Times New Roman1"/>
      <charset val="1"/>
    </font>
    <font>
      <sz val="11"/>
      <color rgb="FF000000"/>
      <name val="Times New Roman1"/>
      <charset val="1"/>
    </font>
    <font>
      <sz val="11"/>
      <color rgb="FF000000"/>
      <name val="Times New Roman"/>
      <family val="1"/>
      <charset val="1"/>
    </font>
    <font>
      <sz val="11"/>
      <color rgb="FF000000"/>
      <name val="Times New Roman2"/>
      <charset val="1"/>
    </font>
    <font>
      <b/>
      <u/>
      <sz val="11"/>
      <color rgb="FF000000"/>
      <name val="Times New Roman1"/>
      <charset val="1"/>
    </font>
    <font>
      <sz val="11"/>
      <color rgb="FF000000"/>
      <name val="Arial"/>
      <family val="2"/>
      <charset val="1"/>
    </font>
    <font>
      <sz val="10"/>
      <color rgb="FF000000"/>
      <name val="Times New Roman1"/>
      <charset val="1"/>
    </font>
    <font>
      <b/>
      <sz val="11"/>
      <color rgb="FF000000"/>
      <name val="Liberation Sans1"/>
      <charset val="1"/>
    </font>
    <font>
      <b/>
      <sz val="14"/>
      <color rgb="FF000000"/>
      <name val="Liberation Sans1"/>
      <charset val="1"/>
    </font>
    <font>
      <sz val="11"/>
      <color rgb="FFFF0000"/>
      <name val="Liberation Sans1"/>
      <charset val="1"/>
    </font>
    <font>
      <b/>
      <sz val="11"/>
      <color rgb="FFFF0000"/>
      <name val="Liberation Sans1"/>
      <charset val="1"/>
    </font>
    <font>
      <sz val="11"/>
      <color rgb="FF000000"/>
      <name val="Arial1"/>
      <charset val="1"/>
    </font>
    <font>
      <sz val="10"/>
      <color rgb="FF000000"/>
      <name val="Times New Roman"/>
      <family val="1"/>
      <charset val="1"/>
    </font>
    <font>
      <b/>
      <sz val="8"/>
      <color rgb="FF000000"/>
      <name val="Liberation Sans1"/>
      <charset val="1"/>
    </font>
    <font>
      <b/>
      <sz val="7"/>
      <color rgb="FF000000"/>
      <name val="Liberation Sans1"/>
      <charset val="1"/>
    </font>
    <font>
      <b/>
      <sz val="16"/>
      <color rgb="FF000000"/>
      <name val="Liberation Sans1"/>
      <charset val="1"/>
    </font>
    <font>
      <sz val="10"/>
      <color rgb="FF000000"/>
      <name val="Liberation Sans1"/>
      <charset val="1"/>
    </font>
    <font>
      <sz val="16"/>
      <color rgb="FF000000"/>
      <name val="Liberation Sans1"/>
      <charset val="1"/>
    </font>
    <font>
      <b/>
      <sz val="20"/>
      <color rgb="FF000000"/>
      <name val="Liberation Sans1"/>
      <charset val="1"/>
    </font>
    <font>
      <b/>
      <sz val="12"/>
      <color rgb="FFC9211E"/>
      <name val="Liberation Sans1"/>
      <charset val="1"/>
    </font>
    <font>
      <b/>
      <sz val="11"/>
      <color rgb="FF000000"/>
      <name val="Times New Roman3"/>
      <charset val="1"/>
    </font>
    <font>
      <sz val="11"/>
      <color rgb="FF000000"/>
      <name val="Liberation Sans1"/>
      <charset val="1"/>
    </font>
    <font>
      <sz val="8"/>
      <name val="Liberation Sans1"/>
      <charset val="1"/>
    </font>
  </fonts>
  <fills count="4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AE9F8"/>
      </patternFill>
    </fill>
    <fill>
      <patternFill patternType="solid">
        <fgColor rgb="FFFFCCCC"/>
        <bgColor rgb="FFF8CBAD"/>
      </patternFill>
    </fill>
    <fill>
      <patternFill patternType="solid">
        <fgColor rgb="FFCC0000"/>
        <bgColor rgb="FFC00000"/>
      </patternFill>
    </fill>
    <fill>
      <patternFill patternType="solid">
        <fgColor rgb="FFCCFFCC"/>
        <bgColor rgb="FFC1F0C8"/>
      </patternFill>
    </fill>
    <fill>
      <patternFill patternType="solid">
        <fgColor rgb="FFFFFFCC"/>
        <bgColor rgb="FFFBF4CA"/>
      </patternFill>
    </fill>
    <fill>
      <patternFill patternType="solid">
        <fgColor rgb="FFD0CECE"/>
        <bgColor rgb="FFCCCCCC"/>
      </patternFill>
    </fill>
    <fill>
      <patternFill patternType="solid">
        <fgColor rgb="FF00FF66"/>
        <bgColor rgb="FF00DE64"/>
      </patternFill>
    </fill>
    <fill>
      <patternFill patternType="solid">
        <fgColor rgb="FFFFD966"/>
        <bgColor rgb="FFFFE699"/>
      </patternFill>
    </fill>
    <fill>
      <patternFill patternType="solid">
        <fgColor rgb="FFC6E0B4"/>
        <bgColor rgb="FFC1F0C8"/>
      </patternFill>
    </fill>
    <fill>
      <patternFill patternType="solid">
        <fgColor rgb="FFFFFF00"/>
        <bgColor rgb="FFFFD966"/>
      </patternFill>
    </fill>
    <fill>
      <patternFill patternType="solid">
        <fgColor rgb="FF00DE64"/>
        <bgColor rgb="FF00FF66"/>
      </patternFill>
    </fill>
    <fill>
      <patternFill patternType="solid">
        <fgColor rgb="FF00B050"/>
        <bgColor rgb="FF00DE64"/>
      </patternFill>
    </fill>
    <fill>
      <patternFill patternType="solid">
        <fgColor rgb="FFED7D31"/>
        <bgColor rgb="FFFF7C80"/>
      </patternFill>
    </fill>
    <fill>
      <patternFill patternType="solid">
        <fgColor rgb="FFFFE699"/>
        <bgColor rgb="FFE8F2A1"/>
      </patternFill>
    </fill>
    <fill>
      <patternFill patternType="solid">
        <fgColor rgb="FFBDD7EE"/>
        <bgColor rgb="FFC0E6F5"/>
      </patternFill>
    </fill>
    <fill>
      <patternFill patternType="solid">
        <fgColor rgb="FFF8CBAD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FFBF00"/>
        <bgColor rgb="FFFFC000"/>
      </patternFill>
    </fill>
    <fill>
      <patternFill patternType="solid">
        <fgColor rgb="FF92D050"/>
        <bgColor rgb="FFA9D08E"/>
      </patternFill>
    </fill>
    <fill>
      <patternFill patternType="solid">
        <fgColor rgb="FFFFC000"/>
        <bgColor rgb="FFFFBF00"/>
      </patternFill>
    </fill>
    <fill>
      <patternFill patternType="solid">
        <fgColor rgb="FFC0E6F5"/>
        <bgColor rgb="FFCAEDFB"/>
      </patternFill>
    </fill>
    <fill>
      <patternFill patternType="solid">
        <fgColor rgb="FFCAEDFB"/>
        <bgColor rgb="FFC0E6F5"/>
      </patternFill>
    </fill>
    <fill>
      <patternFill patternType="solid">
        <fgColor rgb="FFFFA6A6"/>
        <bgColor rgb="FFFFB66C"/>
      </patternFill>
    </fill>
    <fill>
      <patternFill patternType="solid">
        <fgColor rgb="FFED1C24"/>
        <bgColor rgb="FFC9211E"/>
      </patternFill>
    </fill>
    <fill>
      <patternFill patternType="solid">
        <fgColor rgb="FFDAE9F8"/>
        <bgColor rgb="FFCAEDFB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00B050"/>
      </patternFill>
    </fill>
    <fill>
      <patternFill patternType="solid">
        <fgColor rgb="FFBF8F00"/>
        <bgColor rgb="FFED7D31"/>
      </patternFill>
    </fill>
    <fill>
      <patternFill patternType="solid">
        <fgColor rgb="FF8EA9DB"/>
        <bgColor rgb="FF729FCF"/>
      </patternFill>
    </fill>
    <fill>
      <patternFill patternType="solid">
        <fgColor rgb="FFFF7C80"/>
        <bgColor rgb="FFED7D31"/>
      </patternFill>
    </fill>
    <fill>
      <patternFill patternType="solid">
        <fgColor rgb="FF729FCF"/>
        <bgColor rgb="FF8EA9DB"/>
      </patternFill>
    </fill>
    <fill>
      <patternFill patternType="solid">
        <fgColor rgb="FFC00000"/>
        <bgColor rgb="FFCC0000"/>
      </patternFill>
    </fill>
    <fill>
      <patternFill patternType="solid">
        <fgColor rgb="FF7030A0"/>
        <bgColor rgb="FF800080"/>
      </patternFill>
    </fill>
    <fill>
      <patternFill patternType="solid">
        <fgColor rgb="FFFFB66C"/>
        <bgColor rgb="FFFFA6A6"/>
      </patternFill>
    </fill>
    <fill>
      <patternFill patternType="solid">
        <fgColor rgb="FFFBF4CA"/>
        <bgColor rgb="FFFFFFCC"/>
      </patternFill>
    </fill>
    <fill>
      <patternFill patternType="solid">
        <fgColor rgb="FFCCCCCC"/>
        <bgColor rgb="FFD0CECE"/>
      </patternFill>
    </fill>
    <fill>
      <patternFill patternType="solid">
        <fgColor rgb="FFE8F2A1"/>
        <bgColor rgb="FFFFE699"/>
      </patternFill>
    </fill>
    <fill>
      <patternFill patternType="solid">
        <fgColor rgb="FFFCE4D6"/>
        <bgColor rgb="FFFBF4CA"/>
      </patternFill>
    </fill>
    <fill>
      <patternFill patternType="solid">
        <fgColor rgb="FFC1F0C8"/>
        <bgColor rgb="FFCCFFCC"/>
      </patternFill>
    </fill>
    <fill>
      <patternFill patternType="solid">
        <fgColor rgb="FFAFD095"/>
        <bgColor rgb="FFA9D08E"/>
      </patternFill>
    </fill>
    <fill>
      <patternFill patternType="solid">
        <fgColor rgb="FFB7B3CA"/>
        <bgColor rgb="FFCCCCCC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0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>
      <alignment horizontal="center" textRotation="90"/>
    </xf>
    <xf numFmtId="0" fontId="7" fillId="0" borderId="0" applyBorder="0" applyProtection="0">
      <alignment horizontal="center"/>
    </xf>
    <xf numFmtId="0" fontId="8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1" fillId="8" borderId="1" applyProtection="0"/>
    <xf numFmtId="0" fontId="12" fillId="0" borderId="0" applyBorder="0" applyProtection="0"/>
    <xf numFmtId="164" fontId="12" fillId="0" borderId="0" applyBorder="0" applyProtection="0"/>
    <xf numFmtId="0" fontId="34" fillId="0" borderId="0" applyBorder="0" applyProtection="0"/>
    <xf numFmtId="0" fontId="34" fillId="0" borderId="0" applyBorder="0" applyProtection="0"/>
    <xf numFmtId="0" fontId="3" fillId="0" borderId="0" applyBorder="0" applyProtection="0"/>
  </cellStyleXfs>
  <cellXfs count="422">
    <xf numFmtId="0" fontId="0" fillId="0" borderId="0" xfId="0"/>
    <xf numFmtId="0" fontId="27" fillId="13" borderId="13" xfId="0" applyFont="1" applyFill="1" applyBorder="1" applyAlignment="1">
      <alignment horizontal="center" vertical="center" textRotation="255"/>
    </xf>
    <xf numFmtId="0" fontId="0" fillId="39" borderId="2" xfId="0" applyFill="1" applyBorder="1" applyAlignment="1">
      <alignment horizontal="center" vertical="center"/>
    </xf>
    <xf numFmtId="0" fontId="20" fillId="13" borderId="17" xfId="0" applyFont="1" applyFill="1" applyBorder="1" applyAlignment="1">
      <alignment horizontal="center"/>
    </xf>
    <xf numFmtId="0" fontId="26" fillId="13" borderId="13" xfId="0" applyFont="1" applyFill="1" applyBorder="1" applyAlignment="1">
      <alignment horizontal="center" textRotation="255"/>
    </xf>
    <xf numFmtId="0" fontId="20" fillId="13" borderId="13" xfId="0" applyFont="1" applyFill="1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165" fontId="14" fillId="15" borderId="2" xfId="0" applyNumberFormat="1" applyFont="1" applyFill="1" applyBorder="1" applyAlignment="1">
      <alignment horizontal="center" wrapText="1"/>
    </xf>
    <xf numFmtId="0" fontId="0" fillId="12" borderId="2" xfId="0" applyFill="1" applyBorder="1"/>
    <xf numFmtId="0" fontId="0" fillId="12" borderId="2" xfId="0" applyFill="1" applyBorder="1" applyAlignment="1">
      <alignment horizontal="center" vertical="center"/>
    </xf>
    <xf numFmtId="0" fontId="0" fillId="0" borderId="2" xfId="0" applyBorder="1"/>
    <xf numFmtId="0" fontId="0" fillId="15" borderId="2" xfId="0" applyFill="1" applyBorder="1" applyAlignment="1">
      <alignment horizontal="center" vertical="center" wrapText="1"/>
    </xf>
    <xf numFmtId="0" fontId="20" fillId="23" borderId="2" xfId="0" applyFont="1" applyFill="1" applyBorder="1" applyAlignment="1">
      <alignment horizontal="center"/>
    </xf>
    <xf numFmtId="0" fontId="0" fillId="0" borderId="0" xfId="0"/>
    <xf numFmtId="0" fontId="20" fillId="0" borderId="2" xfId="0" applyFont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14" fillId="10" borderId="2" xfId="0" applyNumberFormat="1" applyFont="1" applyFill="1" applyBorder="1" applyAlignment="1">
      <alignment horizontal="center" wrapText="1"/>
    </xf>
    <xf numFmtId="166" fontId="14" fillId="10" borderId="2" xfId="0" applyNumberFormat="1" applyFont="1" applyFill="1" applyBorder="1" applyAlignment="1">
      <alignment horizontal="center" wrapText="1"/>
    </xf>
    <xf numFmtId="167" fontId="14" fillId="10" borderId="2" xfId="0" applyNumberFormat="1" applyFont="1" applyFill="1" applyBorder="1" applyAlignment="1">
      <alignment horizontal="center" wrapText="1"/>
    </xf>
    <xf numFmtId="168" fontId="14" fillId="10" borderId="2" xfId="0" applyNumberFormat="1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justify" wrapText="1"/>
    </xf>
    <xf numFmtId="0" fontId="14" fillId="10" borderId="2" xfId="0" applyFont="1" applyFill="1" applyBorder="1" applyAlignment="1">
      <alignment wrapText="1"/>
    </xf>
    <xf numFmtId="169" fontId="0" fillId="10" borderId="2" xfId="0" applyNumberFormat="1" applyFill="1" applyBorder="1" applyAlignment="1">
      <alignment horizontal="center" wrapText="1"/>
    </xf>
    <xf numFmtId="165" fontId="14" fillId="11" borderId="2" xfId="0" applyNumberFormat="1" applyFont="1" applyFill="1" applyBorder="1" applyAlignment="1">
      <alignment horizontal="center" wrapText="1"/>
    </xf>
    <xf numFmtId="166" fontId="14" fillId="11" borderId="2" xfId="0" applyNumberFormat="1" applyFont="1" applyFill="1" applyBorder="1" applyAlignment="1">
      <alignment horizontal="center" wrapText="1"/>
    </xf>
    <xf numFmtId="167" fontId="14" fillId="11" borderId="2" xfId="0" applyNumberFormat="1" applyFont="1" applyFill="1" applyBorder="1" applyAlignment="1">
      <alignment horizontal="center" wrapText="1"/>
    </xf>
    <xf numFmtId="168" fontId="14" fillId="11" borderId="2" xfId="0" applyNumberFormat="1" applyFont="1" applyFill="1" applyBorder="1" applyAlignment="1">
      <alignment horizontal="center" wrapText="1"/>
    </xf>
    <xf numFmtId="0" fontId="14" fillId="11" borderId="2" xfId="0" applyFont="1" applyFill="1" applyBorder="1" applyAlignment="1">
      <alignment horizontal="center" wrapText="1"/>
    </xf>
    <xf numFmtId="0" fontId="14" fillId="11" borderId="2" xfId="0" applyFont="1" applyFill="1" applyBorder="1" applyAlignment="1">
      <alignment horizontal="justify" wrapText="1"/>
    </xf>
    <xf numFmtId="0" fontId="14" fillId="11" borderId="2" xfId="0" applyFont="1" applyFill="1" applyBorder="1" applyAlignment="1">
      <alignment wrapText="1"/>
    </xf>
    <xf numFmtId="169" fontId="0" fillId="11" borderId="2" xfId="0" applyNumberFormat="1" applyFill="1" applyBorder="1" applyAlignment="1">
      <alignment horizontal="center" wrapText="1"/>
    </xf>
    <xf numFmtId="168" fontId="14" fillId="11" borderId="2" xfId="0" applyNumberFormat="1" applyFont="1" applyFill="1" applyBorder="1" applyAlignment="1">
      <alignment horizontal="justify" wrapText="1"/>
    </xf>
    <xf numFmtId="165" fontId="14" fillId="12" borderId="2" xfId="0" applyNumberFormat="1" applyFont="1" applyFill="1" applyBorder="1" applyAlignment="1">
      <alignment horizontal="center" wrapText="1"/>
    </xf>
    <xf numFmtId="166" fontId="14" fillId="12" borderId="2" xfId="0" applyNumberFormat="1" applyFont="1" applyFill="1" applyBorder="1" applyAlignment="1">
      <alignment horizontal="center" wrapText="1"/>
    </xf>
    <xf numFmtId="167" fontId="14" fillId="12" borderId="2" xfId="0" applyNumberFormat="1" applyFont="1" applyFill="1" applyBorder="1" applyAlignment="1">
      <alignment horizontal="center" wrapText="1"/>
    </xf>
    <xf numFmtId="168" fontId="14" fillId="12" borderId="2" xfId="0" applyNumberFormat="1" applyFont="1" applyFill="1" applyBorder="1" applyAlignment="1">
      <alignment horizontal="center" wrapText="1"/>
    </xf>
    <xf numFmtId="0" fontId="14" fillId="12" borderId="2" xfId="0" applyFont="1" applyFill="1" applyBorder="1" applyAlignment="1">
      <alignment horizontal="center" wrapText="1"/>
    </xf>
    <xf numFmtId="168" fontId="14" fillId="12" borderId="2" xfId="0" applyNumberFormat="1" applyFont="1" applyFill="1" applyBorder="1" applyAlignment="1">
      <alignment horizontal="justify" wrapText="1"/>
    </xf>
    <xf numFmtId="0" fontId="14" fillId="12" borderId="2" xfId="0" applyFont="1" applyFill="1" applyBorder="1" applyAlignment="1">
      <alignment wrapText="1"/>
    </xf>
    <xf numFmtId="169" fontId="0" fillId="12" borderId="2" xfId="0" applyNumberFormat="1" applyFill="1" applyBorder="1" applyAlignment="1">
      <alignment horizontal="center" wrapText="1"/>
    </xf>
    <xf numFmtId="0" fontId="14" fillId="12" borderId="2" xfId="0" applyFont="1" applyFill="1" applyBorder="1" applyAlignment="1">
      <alignment horizontal="justify" wrapText="1"/>
    </xf>
    <xf numFmtId="168" fontId="15" fillId="12" borderId="2" xfId="0" applyNumberFormat="1" applyFont="1" applyFill="1" applyBorder="1" applyAlignment="1">
      <alignment horizontal="justify" wrapText="1"/>
    </xf>
    <xf numFmtId="165" fontId="14" fillId="13" borderId="2" xfId="0" applyNumberFormat="1" applyFont="1" applyFill="1" applyBorder="1" applyAlignment="1">
      <alignment horizontal="center" wrapText="1"/>
    </xf>
    <xf numFmtId="168" fontId="15" fillId="10" borderId="2" xfId="0" applyNumberFormat="1" applyFont="1" applyFill="1" applyBorder="1" applyAlignment="1">
      <alignment horizontal="justify" wrapText="1"/>
    </xf>
    <xf numFmtId="165" fontId="14" fillId="14" borderId="2" xfId="0" applyNumberFormat="1" applyFont="1" applyFill="1" applyBorder="1" applyAlignment="1">
      <alignment horizontal="center" wrapText="1"/>
    </xf>
    <xf numFmtId="166" fontId="14" fillId="14" borderId="2" xfId="0" applyNumberFormat="1" applyFont="1" applyFill="1" applyBorder="1" applyAlignment="1">
      <alignment horizontal="center" wrapText="1"/>
    </xf>
    <xf numFmtId="167" fontId="14" fillId="14" borderId="2" xfId="0" applyNumberFormat="1" applyFont="1" applyFill="1" applyBorder="1" applyAlignment="1">
      <alignment horizontal="center" wrapText="1"/>
    </xf>
    <xf numFmtId="168" fontId="14" fillId="14" borderId="2" xfId="0" applyNumberFormat="1" applyFont="1" applyFill="1" applyBorder="1" applyAlignment="1">
      <alignment horizontal="center" wrapText="1"/>
    </xf>
    <xf numFmtId="0" fontId="14" fillId="14" borderId="2" xfId="0" applyFont="1" applyFill="1" applyBorder="1" applyAlignment="1">
      <alignment horizontal="center" wrapText="1"/>
    </xf>
    <xf numFmtId="168" fontId="15" fillId="14" borderId="2" xfId="0" applyNumberFormat="1" applyFont="1" applyFill="1" applyBorder="1" applyAlignment="1">
      <alignment horizontal="justify" wrapText="1"/>
    </xf>
    <xf numFmtId="0" fontId="14" fillId="14" borderId="2" xfId="0" applyFont="1" applyFill="1" applyBorder="1" applyAlignment="1">
      <alignment wrapText="1"/>
    </xf>
    <xf numFmtId="169" fontId="0" fillId="14" borderId="2" xfId="0" applyNumberFormat="1" applyFill="1" applyBorder="1" applyAlignment="1">
      <alignment horizontal="center" wrapText="1"/>
    </xf>
    <xf numFmtId="0" fontId="14" fillId="14" borderId="2" xfId="0" applyFont="1" applyFill="1" applyBorder="1" applyAlignment="1">
      <alignment horizontal="justify" wrapText="1"/>
    </xf>
    <xf numFmtId="165" fontId="14" fillId="15" borderId="2" xfId="0" applyNumberFormat="1" applyFont="1" applyFill="1" applyBorder="1" applyAlignment="1">
      <alignment horizontal="center" wrapText="1"/>
    </xf>
    <xf numFmtId="166" fontId="14" fillId="15" borderId="2" xfId="0" applyNumberFormat="1" applyFont="1" applyFill="1" applyBorder="1" applyAlignment="1">
      <alignment horizontal="center" wrapText="1"/>
    </xf>
    <xf numFmtId="167" fontId="14" fillId="15" borderId="2" xfId="0" applyNumberFormat="1" applyFont="1" applyFill="1" applyBorder="1" applyAlignment="1">
      <alignment horizontal="center" wrapText="1"/>
    </xf>
    <xf numFmtId="168" fontId="14" fillId="15" borderId="2" xfId="0" applyNumberFormat="1" applyFont="1" applyFill="1" applyBorder="1" applyAlignment="1">
      <alignment horizontal="center" wrapText="1"/>
    </xf>
    <xf numFmtId="0" fontId="14" fillId="15" borderId="2" xfId="0" applyFont="1" applyFill="1" applyBorder="1" applyAlignment="1">
      <alignment horizontal="center" wrapText="1"/>
    </xf>
    <xf numFmtId="168" fontId="15" fillId="15" borderId="2" xfId="0" applyNumberFormat="1" applyFont="1" applyFill="1" applyBorder="1" applyAlignment="1">
      <alignment horizontal="justify" wrapText="1"/>
    </xf>
    <xf numFmtId="0" fontId="14" fillId="15" borderId="2" xfId="0" applyFont="1" applyFill="1" applyBorder="1" applyAlignment="1">
      <alignment wrapText="1"/>
    </xf>
    <xf numFmtId="169" fontId="0" fillId="15" borderId="2" xfId="0" applyNumberFormat="1" applyFill="1" applyBorder="1" applyAlignment="1">
      <alignment horizontal="center" wrapText="1"/>
    </xf>
    <xf numFmtId="0" fontId="14" fillId="15" borderId="2" xfId="0" applyFont="1" applyFill="1" applyBorder="1" applyAlignment="1">
      <alignment horizontal="justify" wrapText="1"/>
    </xf>
    <xf numFmtId="165" fontId="14" fillId="16" borderId="2" xfId="0" applyNumberFormat="1" applyFont="1" applyFill="1" applyBorder="1" applyAlignment="1">
      <alignment horizontal="center" wrapText="1"/>
    </xf>
    <xf numFmtId="166" fontId="14" fillId="16" borderId="2" xfId="0" applyNumberFormat="1" applyFont="1" applyFill="1" applyBorder="1" applyAlignment="1">
      <alignment horizontal="center" wrapText="1"/>
    </xf>
    <xf numFmtId="167" fontId="14" fillId="16" borderId="2" xfId="0" applyNumberFormat="1" applyFont="1" applyFill="1" applyBorder="1" applyAlignment="1">
      <alignment horizontal="center" wrapText="1"/>
    </xf>
    <xf numFmtId="168" fontId="14" fillId="16" borderId="2" xfId="0" applyNumberFormat="1" applyFont="1" applyFill="1" applyBorder="1" applyAlignment="1">
      <alignment horizontal="center" wrapText="1"/>
    </xf>
    <xf numFmtId="0" fontId="14" fillId="16" borderId="2" xfId="0" applyFont="1" applyFill="1" applyBorder="1" applyAlignment="1">
      <alignment horizontal="center" wrapText="1"/>
    </xf>
    <xf numFmtId="168" fontId="15" fillId="16" borderId="2" xfId="0" applyNumberFormat="1" applyFont="1" applyFill="1" applyBorder="1" applyAlignment="1">
      <alignment horizontal="justify" wrapText="1"/>
    </xf>
    <xf numFmtId="0" fontId="14" fillId="16" borderId="2" xfId="0" applyFont="1" applyFill="1" applyBorder="1" applyAlignment="1">
      <alignment wrapText="1"/>
    </xf>
    <xf numFmtId="169" fontId="0" fillId="16" borderId="2" xfId="0" applyNumberFormat="1" applyFill="1" applyBorder="1" applyAlignment="1">
      <alignment horizontal="center" wrapText="1"/>
    </xf>
    <xf numFmtId="0" fontId="14" fillId="16" borderId="2" xfId="0" applyFont="1" applyFill="1" applyBorder="1" applyAlignment="1">
      <alignment horizontal="justify" wrapText="1"/>
    </xf>
    <xf numFmtId="165" fontId="14" fillId="17" borderId="2" xfId="0" applyNumberFormat="1" applyFont="1" applyFill="1" applyBorder="1" applyAlignment="1">
      <alignment horizontal="center" wrapText="1"/>
    </xf>
    <xf numFmtId="166" fontId="14" fillId="17" borderId="2" xfId="0" applyNumberFormat="1" applyFont="1" applyFill="1" applyBorder="1" applyAlignment="1">
      <alignment horizontal="center" wrapText="1"/>
    </xf>
    <xf numFmtId="167" fontId="14" fillId="17" borderId="2" xfId="0" applyNumberFormat="1" applyFont="1" applyFill="1" applyBorder="1" applyAlignment="1">
      <alignment horizontal="center" wrapText="1"/>
    </xf>
    <xf numFmtId="168" fontId="14" fillId="17" borderId="2" xfId="0" applyNumberFormat="1" applyFont="1" applyFill="1" applyBorder="1" applyAlignment="1">
      <alignment horizontal="center" wrapText="1"/>
    </xf>
    <xf numFmtId="0" fontId="14" fillId="17" borderId="2" xfId="0" applyFont="1" applyFill="1" applyBorder="1" applyAlignment="1">
      <alignment horizontal="center" wrapText="1"/>
    </xf>
    <xf numFmtId="168" fontId="15" fillId="17" borderId="2" xfId="0" applyNumberFormat="1" applyFont="1" applyFill="1" applyBorder="1" applyAlignment="1">
      <alignment horizontal="justify" wrapText="1"/>
    </xf>
    <xf numFmtId="0" fontId="14" fillId="17" borderId="2" xfId="0" applyFont="1" applyFill="1" applyBorder="1" applyAlignment="1">
      <alignment wrapText="1"/>
    </xf>
    <xf numFmtId="169" fontId="0" fillId="17" borderId="2" xfId="0" applyNumberFormat="1" applyFill="1" applyBorder="1" applyAlignment="1">
      <alignment horizontal="center" wrapText="1"/>
    </xf>
    <xf numFmtId="0" fontId="14" fillId="17" borderId="2" xfId="0" applyFont="1" applyFill="1" applyBorder="1" applyAlignment="1">
      <alignment horizontal="justify" wrapText="1"/>
    </xf>
    <xf numFmtId="170" fontId="14" fillId="17" borderId="2" xfId="0" applyNumberFormat="1" applyFont="1" applyFill="1" applyBorder="1" applyAlignment="1">
      <alignment horizontal="center" wrapText="1"/>
    </xf>
    <xf numFmtId="1" fontId="14" fillId="17" borderId="2" xfId="0" applyNumberFormat="1" applyFont="1" applyFill="1" applyBorder="1" applyAlignment="1">
      <alignment horizontal="center" wrapText="1"/>
    </xf>
    <xf numFmtId="49" fontId="14" fillId="17" borderId="2" xfId="0" applyNumberFormat="1" applyFont="1" applyFill="1" applyBorder="1" applyAlignment="1">
      <alignment wrapText="1"/>
    </xf>
    <xf numFmtId="165" fontId="14" fillId="17" borderId="2" xfId="0" applyNumberFormat="1" applyFont="1" applyFill="1" applyBorder="1" applyAlignment="1">
      <alignment horizontal="center" vertical="center" wrapText="1"/>
    </xf>
    <xf numFmtId="166" fontId="14" fillId="17" borderId="2" xfId="0" applyNumberFormat="1" applyFont="1" applyFill="1" applyBorder="1" applyAlignment="1">
      <alignment horizontal="center" vertical="center" wrapText="1"/>
    </xf>
    <xf numFmtId="167" fontId="14" fillId="17" borderId="2" xfId="0" applyNumberFormat="1" applyFont="1" applyFill="1" applyBorder="1" applyAlignment="1">
      <alignment horizontal="center" vertical="center" wrapText="1"/>
    </xf>
    <xf numFmtId="165" fontId="14" fillId="13" borderId="2" xfId="0" applyNumberFormat="1" applyFont="1" applyFill="1" applyBorder="1" applyAlignment="1">
      <alignment horizontal="center" vertical="center" wrapText="1"/>
    </xf>
    <xf numFmtId="166" fontId="14" fillId="13" borderId="2" xfId="0" applyNumberFormat="1" applyFont="1" applyFill="1" applyBorder="1" applyAlignment="1">
      <alignment horizontal="center" vertical="center" wrapText="1"/>
    </xf>
    <xf numFmtId="167" fontId="14" fillId="15" borderId="2" xfId="0" applyNumberFormat="1" applyFont="1" applyFill="1" applyBorder="1" applyAlignment="1">
      <alignment horizontal="center" vertical="center" wrapText="1"/>
    </xf>
    <xf numFmtId="1" fontId="14" fillId="13" borderId="2" xfId="0" applyNumberFormat="1" applyFont="1" applyFill="1" applyBorder="1" applyAlignment="1">
      <alignment horizontal="center" wrapText="1"/>
    </xf>
    <xf numFmtId="168" fontId="14" fillId="13" borderId="2" xfId="0" applyNumberFormat="1" applyFont="1" applyFill="1" applyBorder="1" applyAlignment="1">
      <alignment horizontal="center" wrapText="1"/>
    </xf>
    <xf numFmtId="166" fontId="14" fillId="13" borderId="2" xfId="0" applyNumberFormat="1" applyFont="1" applyFill="1" applyBorder="1" applyAlignment="1">
      <alignment wrapText="1"/>
    </xf>
    <xf numFmtId="169" fontId="0" fillId="13" borderId="2" xfId="0" applyNumberFormat="1" applyFill="1" applyBorder="1" applyAlignment="1">
      <alignment horizontal="center" wrapText="1"/>
    </xf>
    <xf numFmtId="0" fontId="14" fillId="13" borderId="2" xfId="0" applyFont="1" applyFill="1" applyBorder="1" applyAlignment="1">
      <alignment wrapText="1"/>
    </xf>
    <xf numFmtId="1" fontId="14" fillId="17" borderId="2" xfId="0" applyNumberFormat="1" applyFont="1" applyFill="1" applyBorder="1" applyAlignment="1">
      <alignment horizontal="center" vertical="center" wrapText="1"/>
    </xf>
    <xf numFmtId="168" fontId="14" fillId="17" borderId="2" xfId="0" applyNumberFormat="1" applyFont="1" applyFill="1" applyBorder="1" applyAlignment="1">
      <alignment horizontal="center" vertical="center" wrapText="1"/>
    </xf>
    <xf numFmtId="165" fontId="13" fillId="13" borderId="2" xfId="0" applyNumberFormat="1" applyFont="1" applyFill="1" applyBorder="1" applyAlignment="1">
      <alignment horizontal="center" wrapText="1"/>
    </xf>
    <xf numFmtId="166" fontId="14" fillId="13" borderId="2" xfId="0" applyNumberFormat="1" applyFont="1" applyFill="1" applyBorder="1" applyAlignment="1">
      <alignment horizontal="center" wrapText="1"/>
    </xf>
    <xf numFmtId="167" fontId="14" fillId="13" borderId="2" xfId="0" applyNumberFormat="1" applyFont="1" applyFill="1" applyBorder="1" applyAlignment="1">
      <alignment horizontal="center" wrapText="1"/>
    </xf>
    <xf numFmtId="0" fontId="14" fillId="13" borderId="2" xfId="0" applyFont="1" applyFill="1" applyBorder="1" applyAlignment="1">
      <alignment horizontal="center" wrapText="1"/>
    </xf>
    <xf numFmtId="168" fontId="15" fillId="13" borderId="2" xfId="0" applyNumberFormat="1" applyFont="1" applyFill="1" applyBorder="1" applyAlignment="1">
      <alignment horizontal="justify" wrapText="1"/>
    </xf>
    <xf numFmtId="0" fontId="14" fillId="13" borderId="2" xfId="0" applyFont="1" applyFill="1" applyBorder="1" applyAlignment="1">
      <alignment horizontal="justify" wrapText="1"/>
    </xf>
    <xf numFmtId="165" fontId="14" fillId="18" borderId="2" xfId="0" applyNumberFormat="1" applyFont="1" applyFill="1" applyBorder="1" applyAlignment="1">
      <alignment horizontal="center" vertical="center" wrapText="1"/>
    </xf>
    <xf numFmtId="165" fontId="13" fillId="18" borderId="2" xfId="0" applyNumberFormat="1" applyFont="1" applyFill="1" applyBorder="1" applyAlignment="1">
      <alignment horizontal="center" vertical="center" wrapText="1"/>
    </xf>
    <xf numFmtId="165" fontId="14" fillId="18" borderId="2" xfId="0" applyNumberFormat="1" applyFont="1" applyFill="1" applyBorder="1" applyAlignment="1">
      <alignment horizontal="center" wrapText="1"/>
    </xf>
    <xf numFmtId="166" fontId="14" fillId="18" borderId="2" xfId="0" applyNumberFormat="1" applyFont="1" applyFill="1" applyBorder="1" applyAlignment="1">
      <alignment horizontal="center" vertical="center" wrapText="1"/>
    </xf>
    <xf numFmtId="167" fontId="14" fillId="18" borderId="2" xfId="0" applyNumberFormat="1" applyFont="1" applyFill="1" applyBorder="1" applyAlignment="1">
      <alignment horizontal="center" vertical="center" wrapText="1"/>
    </xf>
    <xf numFmtId="1" fontId="14" fillId="18" borderId="2" xfId="0" applyNumberFormat="1" applyFont="1" applyFill="1" applyBorder="1" applyAlignment="1">
      <alignment horizontal="center" vertical="center" wrapText="1"/>
    </xf>
    <xf numFmtId="168" fontId="14" fillId="18" borderId="2" xfId="0" applyNumberFormat="1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wrapText="1"/>
    </xf>
    <xf numFmtId="168" fontId="14" fillId="18" borderId="2" xfId="0" applyNumberFormat="1" applyFont="1" applyFill="1" applyBorder="1" applyAlignment="1">
      <alignment horizontal="center" wrapText="1"/>
    </xf>
    <xf numFmtId="169" fontId="0" fillId="18" borderId="2" xfId="0" applyNumberFormat="1" applyFill="1" applyBorder="1" applyAlignment="1">
      <alignment horizontal="center" wrapText="1"/>
    </xf>
    <xf numFmtId="165" fontId="13" fillId="18" borderId="2" xfId="0" applyNumberFormat="1" applyFont="1" applyFill="1" applyBorder="1" applyAlignment="1">
      <alignment horizontal="center" wrapText="1"/>
    </xf>
    <xf numFmtId="166" fontId="14" fillId="18" borderId="2" xfId="0" applyNumberFormat="1" applyFont="1" applyFill="1" applyBorder="1" applyAlignment="1">
      <alignment horizontal="center" wrapText="1"/>
    </xf>
    <xf numFmtId="167" fontId="14" fillId="18" borderId="2" xfId="0" applyNumberFormat="1" applyFont="1" applyFill="1" applyBorder="1" applyAlignment="1">
      <alignment horizontal="center" wrapText="1"/>
    </xf>
    <xf numFmtId="0" fontId="14" fillId="18" borderId="2" xfId="0" applyFont="1" applyFill="1" applyBorder="1" applyAlignment="1">
      <alignment horizontal="center" wrapText="1"/>
    </xf>
    <xf numFmtId="168" fontId="15" fillId="18" borderId="2" xfId="0" applyNumberFormat="1" applyFont="1" applyFill="1" applyBorder="1" applyAlignment="1">
      <alignment horizontal="justify" wrapText="1"/>
    </xf>
    <xf numFmtId="0" fontId="14" fillId="18" borderId="2" xfId="0" applyFont="1" applyFill="1" applyBorder="1" applyAlignment="1">
      <alignment horizontal="justify" wrapText="1"/>
    </xf>
    <xf numFmtId="0" fontId="14" fillId="18" borderId="2" xfId="0" applyFont="1" applyFill="1" applyBorder="1" applyAlignment="1">
      <alignment horizontal="center" vertical="center" wrapText="1"/>
    </xf>
    <xf numFmtId="165" fontId="14" fillId="19" borderId="2" xfId="0" applyNumberFormat="1" applyFont="1" applyFill="1" applyBorder="1" applyAlignment="1">
      <alignment horizontal="center" vertical="center" wrapText="1"/>
    </xf>
    <xf numFmtId="165" fontId="13" fillId="19" borderId="2" xfId="0" applyNumberFormat="1" applyFont="1" applyFill="1" applyBorder="1" applyAlignment="1">
      <alignment horizontal="center" vertical="center" wrapText="1"/>
    </xf>
    <xf numFmtId="166" fontId="14" fillId="19" borderId="2" xfId="0" applyNumberFormat="1" applyFont="1" applyFill="1" applyBorder="1" applyAlignment="1">
      <alignment horizontal="center" vertical="center" wrapText="1"/>
    </xf>
    <xf numFmtId="167" fontId="14" fillId="19" borderId="2" xfId="0" applyNumberFormat="1" applyFont="1" applyFill="1" applyBorder="1" applyAlignment="1">
      <alignment horizontal="center" vertical="center" wrapText="1"/>
    </xf>
    <xf numFmtId="168" fontId="14" fillId="19" borderId="2" xfId="0" applyNumberFormat="1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168" fontId="15" fillId="19" borderId="2" xfId="0" applyNumberFormat="1" applyFont="1" applyFill="1" applyBorder="1" applyAlignment="1">
      <alignment horizontal="justify" wrapText="1"/>
    </xf>
    <xf numFmtId="0" fontId="14" fillId="19" borderId="2" xfId="0" applyFont="1" applyFill="1" applyBorder="1" applyAlignment="1">
      <alignment wrapText="1"/>
    </xf>
    <xf numFmtId="168" fontId="14" fillId="19" borderId="2" xfId="0" applyNumberFormat="1" applyFont="1" applyFill="1" applyBorder="1" applyAlignment="1">
      <alignment horizontal="center" wrapText="1"/>
    </xf>
    <xf numFmtId="169" fontId="0" fillId="19" borderId="2" xfId="0" applyNumberFormat="1" applyFill="1" applyBorder="1" applyAlignment="1">
      <alignment horizontal="center" wrapText="1"/>
    </xf>
    <xf numFmtId="165" fontId="13" fillId="13" borderId="2" xfId="0" applyNumberFormat="1" applyFont="1" applyFill="1" applyBorder="1" applyAlignment="1">
      <alignment horizontal="center" vertical="center" wrapText="1"/>
    </xf>
    <xf numFmtId="167" fontId="14" fillId="13" borderId="2" xfId="0" applyNumberFormat="1" applyFont="1" applyFill="1" applyBorder="1" applyAlignment="1">
      <alignment horizontal="center" vertical="center" wrapText="1"/>
    </xf>
    <xf numFmtId="168" fontId="14" fillId="13" borderId="2" xfId="0" applyNumberFormat="1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6" fillId="19" borderId="0" xfId="0" applyFont="1" applyFill="1" applyAlignment="1">
      <alignment horizontal="center" wrapText="1"/>
    </xf>
    <xf numFmtId="165" fontId="14" fillId="11" borderId="2" xfId="0" applyNumberFormat="1" applyFont="1" applyFill="1" applyBorder="1" applyAlignment="1">
      <alignment horizontal="center" vertical="center" wrapText="1"/>
    </xf>
    <xf numFmtId="165" fontId="14" fillId="20" borderId="2" xfId="0" applyNumberFormat="1" applyFont="1" applyFill="1" applyBorder="1" applyAlignment="1">
      <alignment horizontal="center" vertical="center" wrapText="1"/>
    </xf>
    <xf numFmtId="165" fontId="13" fillId="20" borderId="2" xfId="0" applyNumberFormat="1" applyFont="1" applyFill="1" applyBorder="1" applyAlignment="1">
      <alignment horizontal="center" vertical="center" wrapText="1"/>
    </xf>
    <xf numFmtId="166" fontId="14" fillId="20" borderId="2" xfId="0" applyNumberFormat="1" applyFont="1" applyFill="1" applyBorder="1" applyAlignment="1">
      <alignment horizontal="center" vertical="center" wrapText="1"/>
    </xf>
    <xf numFmtId="167" fontId="14" fillId="20" borderId="2" xfId="0" applyNumberFormat="1" applyFont="1" applyFill="1" applyBorder="1" applyAlignment="1">
      <alignment horizontal="center" vertical="center" wrapText="1"/>
    </xf>
    <xf numFmtId="168" fontId="14" fillId="20" borderId="2" xfId="0" applyNumberFormat="1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wrapText="1"/>
    </xf>
    <xf numFmtId="168" fontId="14" fillId="20" borderId="2" xfId="0" applyNumberFormat="1" applyFont="1" applyFill="1" applyBorder="1" applyAlignment="1">
      <alignment horizontal="center" wrapText="1"/>
    </xf>
    <xf numFmtId="169" fontId="0" fillId="20" borderId="2" xfId="0" applyNumberFormat="1" applyFill="1" applyBorder="1" applyAlignment="1">
      <alignment horizontal="center" wrapText="1"/>
    </xf>
    <xf numFmtId="168" fontId="15" fillId="20" borderId="2" xfId="0" applyNumberFormat="1" applyFont="1" applyFill="1" applyBorder="1" applyAlignment="1">
      <alignment horizontal="justify" wrapText="1"/>
    </xf>
    <xf numFmtId="168" fontId="15" fillId="20" borderId="2" xfId="0" applyNumberFormat="1" applyFont="1" applyFill="1" applyBorder="1" applyAlignment="1">
      <alignment horizontal="justify" vertical="top"/>
    </xf>
    <xf numFmtId="0" fontId="0" fillId="13" borderId="2" xfId="0" applyFill="1" applyBorder="1" applyAlignment="1">
      <alignment horizontal="center" vertical="center"/>
    </xf>
    <xf numFmtId="165" fontId="14" fillId="13" borderId="3" xfId="0" applyNumberFormat="1" applyFont="1" applyFill="1" applyBorder="1" applyAlignment="1">
      <alignment horizontal="center" vertical="center" wrapText="1"/>
    </xf>
    <xf numFmtId="165" fontId="13" fillId="13" borderId="4" xfId="0" applyNumberFormat="1" applyFont="1" applyFill="1" applyBorder="1" applyAlignment="1">
      <alignment horizontal="center" vertical="center" wrapText="1"/>
    </xf>
    <xf numFmtId="165" fontId="14" fillId="21" borderId="2" xfId="0" applyNumberFormat="1" applyFont="1" applyFill="1" applyBorder="1" applyAlignment="1">
      <alignment horizontal="center" vertical="center" wrapText="1"/>
    </xf>
    <xf numFmtId="165" fontId="14" fillId="21" borderId="3" xfId="0" applyNumberFormat="1" applyFont="1" applyFill="1" applyBorder="1" applyAlignment="1">
      <alignment horizontal="center" vertical="center" wrapText="1"/>
    </xf>
    <xf numFmtId="165" fontId="13" fillId="21" borderId="4" xfId="0" applyNumberFormat="1" applyFont="1" applyFill="1" applyBorder="1" applyAlignment="1">
      <alignment horizontal="center" vertical="center" wrapText="1"/>
    </xf>
    <xf numFmtId="165" fontId="14" fillId="22" borderId="2" xfId="0" applyNumberFormat="1" applyFont="1" applyFill="1" applyBorder="1" applyAlignment="1">
      <alignment horizontal="center" vertical="center" wrapText="1"/>
    </xf>
    <xf numFmtId="166" fontId="14" fillId="21" borderId="2" xfId="0" applyNumberFormat="1" applyFont="1" applyFill="1" applyBorder="1" applyAlignment="1">
      <alignment horizontal="center" vertical="center" wrapText="1"/>
    </xf>
    <xf numFmtId="167" fontId="14" fillId="21" borderId="2" xfId="0" applyNumberFormat="1" applyFont="1" applyFill="1" applyBorder="1" applyAlignment="1">
      <alignment horizontal="center" vertical="center" wrapText="1"/>
    </xf>
    <xf numFmtId="168" fontId="14" fillId="23" borderId="2" xfId="0" applyNumberFormat="1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center" vertical="center" wrapText="1"/>
    </xf>
    <xf numFmtId="168" fontId="14" fillId="21" borderId="2" xfId="0" applyNumberFormat="1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wrapText="1"/>
    </xf>
    <xf numFmtId="168" fontId="14" fillId="21" borderId="2" xfId="0" applyNumberFormat="1" applyFont="1" applyFill="1" applyBorder="1" applyAlignment="1">
      <alignment horizontal="center" wrapText="1"/>
    </xf>
    <xf numFmtId="169" fontId="0" fillId="21" borderId="2" xfId="0" applyNumberFormat="1" applyFill="1" applyBorder="1" applyAlignment="1">
      <alignment horizontal="center" wrapText="1"/>
    </xf>
    <xf numFmtId="168" fontId="15" fillId="21" borderId="2" xfId="0" applyNumberFormat="1" applyFont="1" applyFill="1" applyBorder="1" applyAlignment="1">
      <alignment horizontal="justify" wrapText="1"/>
    </xf>
    <xf numFmtId="165" fontId="18" fillId="21" borderId="2" xfId="0" applyNumberFormat="1" applyFont="1" applyFill="1" applyBorder="1" applyAlignment="1">
      <alignment horizontal="center" vertical="center" wrapText="1"/>
    </xf>
    <xf numFmtId="165" fontId="14" fillId="23" borderId="2" xfId="0" applyNumberFormat="1" applyFont="1" applyFill="1" applyBorder="1" applyAlignment="1">
      <alignment horizontal="center" vertical="center" wrapText="1"/>
    </xf>
    <xf numFmtId="0" fontId="14" fillId="23" borderId="2" xfId="0" applyFont="1" applyFill="1" applyBorder="1" applyAlignment="1">
      <alignment wrapText="1"/>
    </xf>
    <xf numFmtId="168" fontId="14" fillId="23" borderId="2" xfId="0" applyNumberFormat="1" applyFont="1" applyFill="1" applyBorder="1" applyAlignment="1">
      <alignment horizontal="center" wrapText="1"/>
    </xf>
    <xf numFmtId="169" fontId="0" fillId="23" borderId="2" xfId="0" applyNumberFormat="1" applyFill="1" applyBorder="1" applyAlignment="1">
      <alignment horizontal="center" wrapText="1"/>
    </xf>
    <xf numFmtId="165" fontId="14" fillId="21" borderId="5" xfId="0" applyNumberFormat="1" applyFont="1" applyFill="1" applyBorder="1" applyAlignment="1">
      <alignment horizontal="center" vertical="center" wrapText="1"/>
    </xf>
    <xf numFmtId="165" fontId="14" fillId="21" borderId="6" xfId="0" applyNumberFormat="1" applyFont="1" applyFill="1" applyBorder="1" applyAlignment="1">
      <alignment horizontal="center" vertical="center" wrapText="1"/>
    </xf>
    <xf numFmtId="165" fontId="14" fillId="21" borderId="4" xfId="0" applyNumberFormat="1" applyFont="1" applyFill="1" applyBorder="1" applyAlignment="1">
      <alignment horizontal="center" vertical="center" wrapText="1"/>
    </xf>
    <xf numFmtId="165" fontId="14" fillId="21" borderId="7" xfId="0" applyNumberFormat="1" applyFont="1" applyFill="1" applyBorder="1" applyAlignment="1">
      <alignment horizontal="center" vertical="center" wrapText="1"/>
    </xf>
    <xf numFmtId="165" fontId="13" fillId="21" borderId="7" xfId="0" applyNumberFormat="1" applyFont="1" applyFill="1" applyBorder="1" applyAlignment="1">
      <alignment horizontal="center" vertical="center" wrapText="1"/>
    </xf>
    <xf numFmtId="165" fontId="14" fillId="23" borderId="5" xfId="0" applyNumberFormat="1" applyFont="1" applyFill="1" applyBorder="1" applyAlignment="1">
      <alignment horizontal="center" vertical="center" wrapText="1"/>
    </xf>
    <xf numFmtId="165" fontId="14" fillId="22" borderId="5" xfId="0" applyNumberFormat="1" applyFont="1" applyFill="1" applyBorder="1" applyAlignment="1">
      <alignment horizontal="center" vertical="center" wrapText="1"/>
    </xf>
    <xf numFmtId="166" fontId="14" fillId="21" borderId="5" xfId="0" applyNumberFormat="1" applyFont="1" applyFill="1" applyBorder="1" applyAlignment="1">
      <alignment horizontal="center" vertical="center" wrapText="1"/>
    </xf>
    <xf numFmtId="167" fontId="14" fillId="21" borderId="5" xfId="0" applyNumberFormat="1" applyFont="1" applyFill="1" applyBorder="1" applyAlignment="1">
      <alignment horizontal="center" vertical="center" wrapText="1"/>
    </xf>
    <xf numFmtId="168" fontId="14" fillId="23" borderId="5" xfId="0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vertical="center" wrapText="1"/>
    </xf>
    <xf numFmtId="168" fontId="14" fillId="21" borderId="5" xfId="0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wrapText="1"/>
    </xf>
    <xf numFmtId="168" fontId="14" fillId="21" borderId="5" xfId="0" applyNumberFormat="1" applyFont="1" applyFill="1" applyBorder="1" applyAlignment="1">
      <alignment horizontal="center" wrapText="1"/>
    </xf>
    <xf numFmtId="169" fontId="0" fillId="21" borderId="5" xfId="0" applyNumberFormat="1" applyFill="1" applyBorder="1" applyAlignment="1">
      <alignment horizontal="center" wrapText="1"/>
    </xf>
    <xf numFmtId="168" fontId="15" fillId="21" borderId="5" xfId="0" applyNumberFormat="1" applyFont="1" applyFill="1" applyBorder="1" applyAlignment="1">
      <alignment horizontal="justify" wrapText="1"/>
    </xf>
    <xf numFmtId="165" fontId="14" fillId="24" borderId="2" xfId="0" applyNumberFormat="1" applyFont="1" applyFill="1" applyBorder="1" applyAlignment="1">
      <alignment horizontal="center" vertical="center" wrapText="1"/>
    </xf>
    <xf numFmtId="165" fontId="14" fillId="24" borderId="3" xfId="0" applyNumberFormat="1" applyFont="1" applyFill="1" applyBorder="1" applyAlignment="1">
      <alignment horizontal="center" vertical="center" wrapText="1"/>
    </xf>
    <xf numFmtId="165" fontId="14" fillId="25" borderId="2" xfId="0" applyNumberFormat="1" applyFont="1" applyFill="1" applyBorder="1" applyAlignment="1">
      <alignment horizontal="center" vertical="center" wrapText="1"/>
    </xf>
    <xf numFmtId="165" fontId="13" fillId="24" borderId="4" xfId="0" applyNumberFormat="1" applyFont="1" applyFill="1" applyBorder="1" applyAlignment="1">
      <alignment horizontal="center" vertical="center" wrapText="1"/>
    </xf>
    <xf numFmtId="166" fontId="14" fillId="24" borderId="2" xfId="0" applyNumberFormat="1" applyFont="1" applyFill="1" applyBorder="1" applyAlignment="1">
      <alignment horizontal="center" vertical="center" wrapText="1"/>
    </xf>
    <xf numFmtId="167" fontId="14" fillId="24" borderId="2" xfId="0" applyNumberFormat="1" applyFont="1" applyFill="1" applyBorder="1" applyAlignment="1">
      <alignment horizontal="center" vertical="center" wrapText="1"/>
    </xf>
    <xf numFmtId="168" fontId="14" fillId="24" borderId="2" xfId="0" applyNumberFormat="1" applyFont="1" applyFill="1" applyBorder="1" applyAlignment="1">
      <alignment horizontal="center" vertical="center" wrapText="1"/>
    </xf>
    <xf numFmtId="0" fontId="14" fillId="24" borderId="2" xfId="0" applyFont="1" applyFill="1" applyBorder="1" applyAlignment="1">
      <alignment horizontal="center" vertical="center" wrapText="1"/>
    </xf>
    <xf numFmtId="0" fontId="14" fillId="24" borderId="2" xfId="0" applyFont="1" applyFill="1" applyBorder="1" applyAlignment="1">
      <alignment wrapText="1"/>
    </xf>
    <xf numFmtId="168" fontId="14" fillId="24" borderId="2" xfId="0" applyNumberFormat="1" applyFont="1" applyFill="1" applyBorder="1" applyAlignment="1">
      <alignment horizontal="center" wrapText="1"/>
    </xf>
    <xf numFmtId="169" fontId="0" fillId="24" borderId="2" xfId="0" applyNumberFormat="1" applyFill="1" applyBorder="1" applyAlignment="1">
      <alignment horizontal="center" wrapText="1"/>
    </xf>
    <xf numFmtId="168" fontId="15" fillId="24" borderId="2" xfId="0" applyNumberFormat="1" applyFont="1" applyFill="1" applyBorder="1" applyAlignment="1">
      <alignment horizontal="justify" wrapText="1"/>
    </xf>
    <xf numFmtId="165" fontId="14" fillId="24" borderId="6" xfId="0" applyNumberFormat="1" applyFont="1" applyFill="1" applyBorder="1" applyAlignment="1">
      <alignment horizontal="center" vertical="center" wrapText="1"/>
    </xf>
    <xf numFmtId="165" fontId="14" fillId="25" borderId="5" xfId="0" applyNumberFormat="1" applyFont="1" applyFill="1" applyBorder="1" applyAlignment="1">
      <alignment horizontal="center" vertical="center" wrapText="1"/>
    </xf>
    <xf numFmtId="165" fontId="13" fillId="24" borderId="7" xfId="0" applyNumberFormat="1" applyFont="1" applyFill="1" applyBorder="1" applyAlignment="1">
      <alignment horizontal="center" vertical="center" wrapText="1"/>
    </xf>
    <xf numFmtId="165" fontId="14" fillId="24" borderId="5" xfId="0" applyNumberFormat="1" applyFont="1" applyFill="1" applyBorder="1" applyAlignment="1">
      <alignment horizontal="center" vertical="center" wrapText="1"/>
    </xf>
    <xf numFmtId="166" fontId="14" fillId="24" borderId="5" xfId="0" applyNumberFormat="1" applyFont="1" applyFill="1" applyBorder="1" applyAlignment="1">
      <alignment horizontal="center" vertical="center" wrapText="1"/>
    </xf>
    <xf numFmtId="167" fontId="14" fillId="24" borderId="5" xfId="0" applyNumberFormat="1" applyFont="1" applyFill="1" applyBorder="1" applyAlignment="1">
      <alignment horizontal="center" vertical="center" wrapText="1"/>
    </xf>
    <xf numFmtId="168" fontId="14" fillId="24" borderId="5" xfId="0" applyNumberFormat="1" applyFont="1" applyFill="1" applyBorder="1" applyAlignment="1">
      <alignment horizontal="center" vertical="center" wrapText="1"/>
    </xf>
    <xf numFmtId="0" fontId="14" fillId="24" borderId="5" xfId="0" applyFont="1" applyFill="1" applyBorder="1" applyAlignment="1">
      <alignment horizontal="center" vertical="center" wrapText="1"/>
    </xf>
    <xf numFmtId="0" fontId="14" fillId="24" borderId="5" xfId="0" applyFont="1" applyFill="1" applyBorder="1" applyAlignment="1">
      <alignment wrapText="1"/>
    </xf>
    <xf numFmtId="168" fontId="14" fillId="24" borderId="5" xfId="0" applyNumberFormat="1" applyFont="1" applyFill="1" applyBorder="1" applyAlignment="1">
      <alignment horizontal="center" wrapText="1"/>
    </xf>
    <xf numFmtId="169" fontId="0" fillId="24" borderId="5" xfId="0" applyNumberFormat="1" applyFill="1" applyBorder="1" applyAlignment="1">
      <alignment horizontal="center" wrapText="1"/>
    </xf>
    <xf numFmtId="168" fontId="15" fillId="24" borderId="5" xfId="0" applyNumberFormat="1" applyFont="1" applyFill="1" applyBorder="1" applyAlignment="1">
      <alignment horizontal="justify" wrapText="1"/>
    </xf>
    <xf numFmtId="165" fontId="19" fillId="24" borderId="5" xfId="0" applyNumberFormat="1" applyFont="1" applyFill="1" applyBorder="1" applyAlignment="1">
      <alignment horizontal="center" vertical="center" wrapText="1"/>
    </xf>
    <xf numFmtId="165" fontId="13" fillId="24" borderId="2" xfId="0" applyNumberFormat="1" applyFont="1" applyFill="1" applyBorder="1" applyAlignment="1">
      <alignment horizontal="center" vertical="center" wrapText="1"/>
    </xf>
    <xf numFmtId="165" fontId="14" fillId="24" borderId="4" xfId="0" applyNumberFormat="1" applyFont="1" applyFill="1" applyBorder="1" applyAlignment="1">
      <alignment horizontal="center" vertical="center" wrapText="1"/>
    </xf>
    <xf numFmtId="165" fontId="14" fillId="26" borderId="2" xfId="0" applyNumberFormat="1" applyFont="1" applyFill="1" applyBorder="1" applyAlignment="1">
      <alignment horizontal="center" vertical="center" wrapText="1"/>
    </xf>
    <xf numFmtId="165" fontId="13" fillId="26" borderId="2" xfId="0" applyNumberFormat="1" applyFont="1" applyFill="1" applyBorder="1" applyAlignment="1">
      <alignment horizontal="center" vertical="center" wrapText="1"/>
    </xf>
    <xf numFmtId="165" fontId="14" fillId="26" borderId="3" xfId="0" applyNumberFormat="1" applyFont="1" applyFill="1" applyBorder="1" applyAlignment="1">
      <alignment horizontal="center" vertical="center" wrapText="1"/>
    </xf>
    <xf numFmtId="165" fontId="14" fillId="26" borderId="4" xfId="0" applyNumberFormat="1" applyFont="1" applyFill="1" applyBorder="1" applyAlignment="1">
      <alignment horizontal="center" vertical="center" wrapText="1"/>
    </xf>
    <xf numFmtId="166" fontId="14" fillId="26" borderId="2" xfId="0" applyNumberFormat="1" applyFont="1" applyFill="1" applyBorder="1" applyAlignment="1">
      <alignment horizontal="center" vertical="center" wrapText="1"/>
    </xf>
    <xf numFmtId="167" fontId="14" fillId="26" borderId="2" xfId="0" applyNumberFormat="1" applyFont="1" applyFill="1" applyBorder="1" applyAlignment="1">
      <alignment horizontal="center" vertical="center" wrapText="1"/>
    </xf>
    <xf numFmtId="168" fontId="14" fillId="26" borderId="2" xfId="0" applyNumberFormat="1" applyFont="1" applyFill="1" applyBorder="1" applyAlignment="1">
      <alignment horizontal="center" vertical="center" wrapText="1"/>
    </xf>
    <xf numFmtId="0" fontId="14" fillId="26" borderId="2" xfId="0" applyFont="1" applyFill="1" applyBorder="1" applyAlignment="1">
      <alignment horizontal="center" vertical="center" wrapText="1"/>
    </xf>
    <xf numFmtId="0" fontId="14" fillId="26" borderId="2" xfId="0" applyFont="1" applyFill="1" applyBorder="1" applyAlignment="1">
      <alignment wrapText="1"/>
    </xf>
    <xf numFmtId="168" fontId="14" fillId="26" borderId="2" xfId="0" applyNumberFormat="1" applyFont="1" applyFill="1" applyBorder="1" applyAlignment="1">
      <alignment horizontal="center" wrapText="1"/>
    </xf>
    <xf numFmtId="169" fontId="0" fillId="26" borderId="2" xfId="0" applyNumberFormat="1" applyFill="1" applyBorder="1" applyAlignment="1">
      <alignment horizontal="center" wrapText="1"/>
    </xf>
    <xf numFmtId="168" fontId="15" fillId="26" borderId="2" xfId="0" applyNumberFormat="1" applyFont="1" applyFill="1" applyBorder="1" applyAlignment="1">
      <alignment horizontal="justify" wrapText="1"/>
    </xf>
    <xf numFmtId="165" fontId="14" fillId="26" borderId="5" xfId="0" applyNumberFormat="1" applyFont="1" applyFill="1" applyBorder="1" applyAlignment="1">
      <alignment horizontal="center" vertical="center" wrapText="1"/>
    </xf>
    <xf numFmtId="165" fontId="13" fillId="26" borderId="5" xfId="0" applyNumberFormat="1" applyFont="1" applyFill="1" applyBorder="1" applyAlignment="1">
      <alignment horizontal="center" vertical="center" wrapText="1"/>
    </xf>
    <xf numFmtId="165" fontId="14" fillId="26" borderId="6" xfId="0" applyNumberFormat="1" applyFont="1" applyFill="1" applyBorder="1" applyAlignment="1">
      <alignment horizontal="center" vertical="center" wrapText="1"/>
    </xf>
    <xf numFmtId="165" fontId="14" fillId="26" borderId="7" xfId="0" applyNumberFormat="1" applyFont="1" applyFill="1" applyBorder="1" applyAlignment="1">
      <alignment horizontal="center" vertical="center" wrapText="1"/>
    </xf>
    <xf numFmtId="166" fontId="14" fillId="26" borderId="5" xfId="0" applyNumberFormat="1" applyFont="1" applyFill="1" applyBorder="1" applyAlignment="1">
      <alignment horizontal="center" vertical="center" wrapText="1"/>
    </xf>
    <xf numFmtId="167" fontId="14" fillId="26" borderId="5" xfId="0" applyNumberFormat="1" applyFont="1" applyFill="1" applyBorder="1" applyAlignment="1">
      <alignment horizontal="center" vertical="center" wrapText="1"/>
    </xf>
    <xf numFmtId="168" fontId="14" fillId="26" borderId="5" xfId="0" applyNumberFormat="1" applyFont="1" applyFill="1" applyBorder="1" applyAlignment="1">
      <alignment horizontal="center" vertical="center" wrapText="1"/>
    </xf>
    <xf numFmtId="0" fontId="14" fillId="26" borderId="5" xfId="0" applyFont="1" applyFill="1" applyBorder="1" applyAlignment="1">
      <alignment horizontal="center" vertical="center" wrapText="1"/>
    </xf>
    <xf numFmtId="0" fontId="14" fillId="26" borderId="5" xfId="0" applyFont="1" applyFill="1" applyBorder="1" applyAlignment="1">
      <alignment wrapText="1"/>
    </xf>
    <xf numFmtId="168" fontId="14" fillId="26" borderId="5" xfId="0" applyNumberFormat="1" applyFont="1" applyFill="1" applyBorder="1" applyAlignment="1">
      <alignment horizontal="center" wrapText="1"/>
    </xf>
    <xf numFmtId="169" fontId="0" fillId="26" borderId="5" xfId="0" applyNumberFormat="1" applyFill="1" applyBorder="1" applyAlignment="1">
      <alignment horizontal="center" wrapText="1"/>
    </xf>
    <xf numFmtId="168" fontId="15" fillId="26" borderId="5" xfId="0" applyNumberFormat="1" applyFont="1" applyFill="1" applyBorder="1" applyAlignment="1">
      <alignment horizontal="justify" wrapText="1"/>
    </xf>
    <xf numFmtId="165" fontId="14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168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wrapText="1"/>
    </xf>
    <xf numFmtId="168" fontId="14" fillId="0" borderId="0" xfId="0" applyNumberFormat="1" applyFont="1" applyAlignment="1">
      <alignment horizontal="center" wrapText="1"/>
    </xf>
    <xf numFmtId="169" fontId="0" fillId="0" borderId="0" xfId="0" applyNumberFormat="1" applyAlignment="1">
      <alignment horizontal="center" wrapText="1"/>
    </xf>
    <xf numFmtId="168" fontId="15" fillId="0" borderId="0" xfId="0" applyNumberFormat="1" applyFont="1" applyAlignment="1">
      <alignment horizontal="justify" wrapText="1"/>
    </xf>
    <xf numFmtId="0" fontId="20" fillId="27" borderId="2" xfId="0" applyFont="1" applyFill="1" applyBorder="1"/>
    <xf numFmtId="0" fontId="0" fillId="0" borderId="2" xfId="0" applyBorder="1"/>
    <xf numFmtId="0" fontId="0" fillId="0" borderId="9" xfId="0" applyBorder="1"/>
    <xf numFmtId="0" fontId="20" fillId="0" borderId="2" xfId="0" applyFont="1" applyBorder="1" applyAlignment="1">
      <alignment horizontal="center" vertical="center"/>
    </xf>
    <xf numFmtId="168" fontId="0" fillId="0" borderId="0" xfId="0" applyNumberFormat="1"/>
    <xf numFmtId="165" fontId="21" fillId="20" borderId="1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0" fontId="20" fillId="0" borderId="2" xfId="0" applyFont="1" applyBorder="1" applyAlignment="1">
      <alignment horizontal="center"/>
    </xf>
    <xf numFmtId="1" fontId="20" fillId="28" borderId="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20" fillId="0" borderId="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0" fillId="13" borderId="2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0" fillId="0" borderId="3" xfId="0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1" fontId="20" fillId="28" borderId="12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1" fontId="0" fillId="0" borderId="0" xfId="0" applyNumberFormat="1"/>
    <xf numFmtId="0" fontId="25" fillId="0" borderId="0" xfId="0" applyFont="1"/>
    <xf numFmtId="0" fontId="0" fillId="15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168" fontId="14" fillId="12" borderId="2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168" fontId="14" fillId="29" borderId="2" xfId="0" applyNumberFormat="1" applyFont="1" applyFill="1" applyBorder="1" applyAlignment="1">
      <alignment horizontal="center" vertical="center" wrapText="1"/>
    </xf>
    <xf numFmtId="168" fontId="14" fillId="29" borderId="2" xfId="0" applyNumberFormat="1" applyFont="1" applyFill="1" applyBorder="1" applyAlignment="1">
      <alignment horizontal="center" wrapText="1"/>
    </xf>
    <xf numFmtId="0" fontId="0" fillId="12" borderId="2" xfId="0" applyFill="1" applyBorder="1" applyAlignment="1">
      <alignment horizontal="center"/>
    </xf>
    <xf numFmtId="0" fontId="0" fillId="0" borderId="5" xfId="0" applyBorder="1"/>
    <xf numFmtId="0" fontId="20" fillId="12" borderId="5" xfId="0" applyFont="1" applyFill="1" applyBorder="1" applyAlignment="1">
      <alignment horizontal="center" vertical="center"/>
    </xf>
    <xf numFmtId="165" fontId="14" fillId="13" borderId="5" xfId="0" applyNumberFormat="1" applyFont="1" applyFill="1" applyBorder="1" applyAlignment="1">
      <alignment horizontal="center" wrapText="1"/>
    </xf>
    <xf numFmtId="0" fontId="0" fillId="13" borderId="5" xfId="0" applyFill="1" applyBorder="1" applyAlignment="1">
      <alignment horizontal="center"/>
    </xf>
    <xf numFmtId="168" fontId="14" fillId="12" borderId="5" xfId="0" applyNumberFormat="1" applyFont="1" applyFill="1" applyBorder="1" applyAlignment="1">
      <alignment horizontal="center" wrapText="1"/>
    </xf>
    <xf numFmtId="0" fontId="0" fillId="12" borderId="5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65" fontId="14" fillId="29" borderId="2" xfId="0" applyNumberFormat="1" applyFont="1" applyFill="1" applyBorder="1" applyAlignment="1">
      <alignment horizontal="center" wrapText="1"/>
    </xf>
    <xf numFmtId="165" fontId="14" fillId="15" borderId="2" xfId="0" applyNumberFormat="1" applyFont="1" applyFill="1" applyBorder="1" applyAlignment="1">
      <alignment horizontal="center" vertical="center" wrapText="1"/>
    </xf>
    <xf numFmtId="165" fontId="14" fillId="12" borderId="2" xfId="0" applyNumberFormat="1" applyFont="1" applyFill="1" applyBorder="1" applyAlignment="1">
      <alignment horizontal="center" vertical="center" wrapText="1"/>
    </xf>
    <xf numFmtId="0" fontId="20" fillId="13" borderId="14" xfId="0" applyFont="1" applyFill="1" applyBorder="1"/>
    <xf numFmtId="0" fontId="20" fillId="22" borderId="15" xfId="0" applyFont="1" applyFill="1" applyBorder="1" applyAlignment="1">
      <alignment horizontal="center"/>
    </xf>
    <xf numFmtId="0" fontId="20" fillId="30" borderId="15" xfId="0" applyFont="1" applyFill="1" applyBorder="1"/>
    <xf numFmtId="0" fontId="20" fillId="31" borderId="15" xfId="0" applyFont="1" applyFill="1" applyBorder="1"/>
    <xf numFmtId="0" fontId="20" fillId="32" borderId="15" xfId="0" applyFont="1" applyFill="1" applyBorder="1"/>
    <xf numFmtId="0" fontId="20" fillId="19" borderId="15" xfId="0" applyFont="1" applyFill="1" applyBorder="1"/>
    <xf numFmtId="0" fontId="20" fillId="20" borderId="15" xfId="0" applyFont="1" applyFill="1" applyBorder="1"/>
    <xf numFmtId="0" fontId="20" fillId="33" borderId="16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20" fillId="35" borderId="16" xfId="0" applyFont="1" applyFill="1" applyBorder="1" applyAlignment="1">
      <alignment horizontal="center"/>
    </xf>
    <xf numFmtId="0" fontId="20" fillId="36" borderId="16" xfId="0" applyFont="1" applyFill="1" applyBorder="1" applyAlignment="1">
      <alignment horizontal="center"/>
    </xf>
    <xf numFmtId="0" fontId="20" fillId="37" borderId="16" xfId="0" applyFont="1" applyFill="1" applyBorder="1" applyAlignment="1">
      <alignment horizontal="center"/>
    </xf>
    <xf numFmtId="0" fontId="20" fillId="25" borderId="15" xfId="0" applyFont="1" applyFill="1" applyBorder="1" applyAlignment="1">
      <alignment horizontal="center"/>
    </xf>
    <xf numFmtId="0" fontId="20" fillId="38" borderId="15" xfId="0" applyFont="1" applyFill="1" applyBorder="1" applyAlignment="1">
      <alignment horizontal="center"/>
    </xf>
    <xf numFmtId="0" fontId="20" fillId="12" borderId="18" xfId="0" applyFont="1" applyFill="1" applyBorder="1"/>
    <xf numFmtId="0" fontId="20" fillId="22" borderId="2" xfId="0" applyFont="1" applyFill="1" applyBorder="1" applyAlignment="1">
      <alignment horizontal="center"/>
    </xf>
    <xf numFmtId="0" fontId="20" fillId="30" borderId="2" xfId="0" applyFont="1" applyFill="1" applyBorder="1" applyAlignment="1">
      <alignment horizontal="center"/>
    </xf>
    <xf numFmtId="0" fontId="20" fillId="31" borderId="2" xfId="0" applyFont="1" applyFill="1" applyBorder="1" applyAlignment="1">
      <alignment horizontal="center"/>
    </xf>
    <xf numFmtId="0" fontId="20" fillId="32" borderId="2" xfId="0" applyFont="1" applyFill="1" applyBorder="1" applyAlignment="1">
      <alignment horizontal="center"/>
    </xf>
    <xf numFmtId="0" fontId="20" fillId="19" borderId="2" xfId="0" applyFont="1" applyFill="1" applyBorder="1" applyAlignment="1">
      <alignment horizontal="center"/>
    </xf>
    <xf numFmtId="0" fontId="20" fillId="20" borderId="2" xfId="0" applyFont="1" applyFill="1" applyBorder="1" applyAlignment="1">
      <alignment horizontal="center"/>
    </xf>
    <xf numFmtId="0" fontId="20" fillId="33" borderId="3" xfId="0" applyFont="1" applyFill="1" applyBorder="1" applyAlignment="1">
      <alignment horizontal="center"/>
    </xf>
    <xf numFmtId="0" fontId="20" fillId="34" borderId="3" xfId="0" applyFont="1" applyFill="1" applyBorder="1" applyAlignment="1">
      <alignment horizontal="center"/>
    </xf>
    <xf numFmtId="0" fontId="20" fillId="35" borderId="3" xfId="0" applyFont="1" applyFill="1" applyBorder="1" applyAlignment="1">
      <alignment horizontal="center"/>
    </xf>
    <xf numFmtId="0" fontId="20" fillId="36" borderId="3" xfId="0" applyFont="1" applyFill="1" applyBorder="1" applyAlignment="1">
      <alignment horizontal="center"/>
    </xf>
    <xf numFmtId="0" fontId="20" fillId="37" borderId="3" xfId="0" applyFont="1" applyFill="1" applyBorder="1" applyAlignment="1">
      <alignment horizontal="center"/>
    </xf>
    <xf numFmtId="0" fontId="20" fillId="25" borderId="2" xfId="0" applyFont="1" applyFill="1" applyBorder="1" applyAlignment="1">
      <alignment horizontal="center"/>
    </xf>
    <xf numFmtId="0" fontId="20" fillId="38" borderId="2" xfId="0" applyFont="1" applyFill="1" applyBorder="1" applyAlignment="1">
      <alignment horizontal="center"/>
    </xf>
    <xf numFmtId="0" fontId="20" fillId="13" borderId="19" xfId="0" applyFont="1" applyFill="1" applyBorder="1" applyAlignment="1">
      <alignment horizontal="center"/>
    </xf>
    <xf numFmtId="0" fontId="20" fillId="13" borderId="20" xfId="0" applyFont="1" applyFill="1" applyBorder="1" applyAlignment="1">
      <alignment horizontal="center"/>
    </xf>
    <xf numFmtId="0" fontId="20" fillId="11" borderId="18" xfId="0" applyFont="1" applyFill="1" applyBorder="1"/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20" fillId="0" borderId="0" xfId="0" applyFont="1" applyAlignment="1">
      <alignment horizontal="center"/>
    </xf>
    <xf numFmtId="2" fontId="0" fillId="40" borderId="2" xfId="0" applyNumberFormat="1" applyFill="1" applyBorder="1" applyAlignment="1">
      <alignment horizontal="center"/>
    </xf>
    <xf numFmtId="165" fontId="14" fillId="0" borderId="2" xfId="0" applyNumberFormat="1" applyFont="1" applyBorder="1" applyAlignment="1">
      <alignment horizontal="center" wrapText="1"/>
    </xf>
    <xf numFmtId="168" fontId="14" fillId="0" borderId="2" xfId="0" applyNumberFormat="1" applyFont="1" applyBorder="1" applyAlignment="1">
      <alignment horizontal="center" wrapText="1"/>
    </xf>
    <xf numFmtId="0" fontId="0" fillId="12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wrapText="1"/>
    </xf>
    <xf numFmtId="168" fontId="14" fillId="0" borderId="5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wrapText="1"/>
    </xf>
    <xf numFmtId="0" fontId="20" fillId="11" borderId="21" xfId="0" applyFont="1" applyFill="1" applyBorder="1"/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20" fillId="11" borderId="22" xfId="0" applyFont="1" applyFill="1" applyBorder="1"/>
    <xf numFmtId="0" fontId="20" fillId="11" borderId="23" xfId="0" applyFont="1" applyFill="1" applyBorder="1" applyAlignment="1">
      <alignment horizontal="center"/>
    </xf>
    <xf numFmtId="0" fontId="20" fillId="11" borderId="24" xfId="0" applyFont="1" applyFill="1" applyBorder="1" applyAlignment="1">
      <alignment horizontal="center"/>
    </xf>
    <xf numFmtId="0" fontId="29" fillId="0" borderId="0" xfId="0" applyFont="1"/>
    <xf numFmtId="0" fontId="20" fillId="41" borderId="25" xfId="0" applyFont="1" applyFill="1" applyBorder="1"/>
    <xf numFmtId="0" fontId="0" fillId="0" borderId="10" xfId="0" applyBorder="1" applyAlignment="1">
      <alignment horizontal="center"/>
    </xf>
    <xf numFmtId="0" fontId="20" fillId="41" borderId="18" xfId="0" applyFont="1" applyFill="1" applyBorder="1"/>
    <xf numFmtId="0" fontId="13" fillId="13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65" fontId="14" fillId="13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168" fontId="14" fillId="12" borderId="0" xfId="0" applyNumberFormat="1" applyFont="1" applyFill="1" applyAlignment="1">
      <alignment horizontal="center" vertical="center" wrapText="1"/>
    </xf>
    <xf numFmtId="168" fontId="14" fillId="12" borderId="0" xfId="0" applyNumberFormat="1" applyFont="1" applyFill="1" applyAlignment="1">
      <alignment horizontal="center" wrapText="1"/>
    </xf>
    <xf numFmtId="168" fontId="14" fillId="13" borderId="0" xfId="0" applyNumberFormat="1" applyFont="1" applyFill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wrapText="1"/>
    </xf>
    <xf numFmtId="0" fontId="14" fillId="13" borderId="8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9" fillId="12" borderId="26" xfId="0" applyFont="1" applyFill="1" applyBorder="1"/>
    <xf numFmtId="0" fontId="0" fillId="12" borderId="8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165" fontId="14" fillId="0" borderId="2" xfId="0" applyNumberFormat="1" applyFont="1" applyBorder="1" applyAlignment="1">
      <alignment horizontal="center" vertical="center" wrapText="1"/>
    </xf>
    <xf numFmtId="168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9" fillId="12" borderId="4" xfId="0" applyFont="1" applyFill="1" applyBorder="1"/>
    <xf numFmtId="0" fontId="0" fillId="12" borderId="4" xfId="0" applyFill="1" applyBorder="1"/>
    <xf numFmtId="0" fontId="30" fillId="12" borderId="2" xfId="0" applyFont="1" applyFill="1" applyBorder="1" applyAlignment="1">
      <alignment horizontal="center"/>
    </xf>
    <xf numFmtId="0" fontId="30" fillId="12" borderId="3" xfId="0" applyFont="1" applyFill="1" applyBorder="1" applyAlignment="1">
      <alignment horizontal="center"/>
    </xf>
    <xf numFmtId="0" fontId="0" fillId="12" borderId="7" xfId="0" applyFill="1" applyBorder="1"/>
    <xf numFmtId="0" fontId="0" fillId="12" borderId="4" xfId="0" applyFill="1" applyBorder="1" applyAlignment="1">
      <alignment horizontal="left"/>
    </xf>
    <xf numFmtId="0" fontId="0" fillId="12" borderId="7" xfId="0" applyFill="1" applyBorder="1" applyAlignment="1">
      <alignment horizontal="left"/>
    </xf>
    <xf numFmtId="0" fontId="0" fillId="12" borderId="3" xfId="0" applyFill="1" applyBorder="1" applyAlignment="1">
      <alignment horizontal="center" vertical="center"/>
    </xf>
    <xf numFmtId="0" fontId="0" fillId="12" borderId="26" xfId="0" applyFill="1" applyBorder="1" applyAlignment="1">
      <alignment horizontal="left"/>
    </xf>
    <xf numFmtId="168" fontId="14" fillId="42" borderId="2" xfId="0" applyNumberFormat="1" applyFont="1" applyFill="1" applyBorder="1" applyAlignment="1">
      <alignment horizontal="center" vertical="center" wrapText="1"/>
    </xf>
    <xf numFmtId="0" fontId="0" fillId="42" borderId="2" xfId="0" applyFill="1" applyBorder="1" applyAlignment="1">
      <alignment horizontal="center" vertical="center"/>
    </xf>
    <xf numFmtId="168" fontId="14" fillId="42" borderId="2" xfId="0" applyNumberFormat="1" applyFont="1" applyFill="1" applyBorder="1" applyAlignment="1">
      <alignment horizont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15" borderId="5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left"/>
    </xf>
    <xf numFmtId="0" fontId="0" fillId="12" borderId="23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21" borderId="2" xfId="0" applyFont="1" applyFill="1" applyBorder="1" applyAlignment="1">
      <alignment horizontal="center" vertical="center"/>
    </xf>
    <xf numFmtId="0" fontId="20" fillId="43" borderId="2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0" fillId="0" borderId="0" xfId="0" applyFont="1"/>
    <xf numFmtId="0" fontId="2" fillId="37" borderId="2" xfId="0" applyFont="1" applyFill="1" applyBorder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0" fillId="44" borderId="0" xfId="0" applyFont="1" applyFill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165" fontId="0" fillId="13" borderId="2" xfId="0" applyNumberForma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8" fillId="11" borderId="17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 vertical="center" textRotation="255"/>
    </xf>
    <xf numFmtId="0" fontId="20" fillId="0" borderId="1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13" borderId="13" xfId="0" applyFont="1" applyFill="1" applyBorder="1" applyAlignment="1">
      <alignment horizontal="center" textRotation="255"/>
    </xf>
    <xf numFmtId="0" fontId="28" fillId="12" borderId="17" xfId="0" applyFont="1" applyFill="1" applyBorder="1" applyAlignment="1">
      <alignment horizontal="center"/>
    </xf>
    <xf numFmtId="0" fontId="31" fillId="23" borderId="2" xfId="0" applyFont="1" applyFill="1" applyBorder="1" applyAlignment="1">
      <alignment horizontal="center"/>
    </xf>
    <xf numFmtId="0" fontId="0" fillId="12" borderId="17" xfId="0" applyFill="1" applyBorder="1"/>
    <xf numFmtId="0" fontId="0" fillId="12" borderId="17" xfId="0" applyFill="1" applyBorder="1" applyAlignment="1">
      <alignment horizontal="center"/>
    </xf>
    <xf numFmtId="0" fontId="32" fillId="0" borderId="0" xfId="0" applyFont="1" applyAlignment="1">
      <alignment horizontal="left"/>
    </xf>
    <xf numFmtId="0" fontId="28" fillId="21" borderId="2" xfId="0" applyFont="1" applyFill="1" applyBorder="1" applyAlignment="1">
      <alignment horizontal="center" vertical="center"/>
    </xf>
    <xf numFmtId="0" fontId="20" fillId="43" borderId="2" xfId="0" applyFont="1" applyFill="1" applyBorder="1" applyAlignment="1">
      <alignment horizontal="center" vertical="center"/>
    </xf>
    <xf numFmtId="0" fontId="2" fillId="37" borderId="2" xfId="0" applyFont="1" applyFill="1" applyBorder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1" fillId="0" borderId="2" xfId="0" applyNumberFormat="1" applyFont="1" applyBorder="1" applyAlignment="1">
      <alignment horizontal="center" vertical="center"/>
    </xf>
    <xf numFmtId="0" fontId="20" fillId="44" borderId="2" xfId="0" applyFont="1" applyFill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/>
    </xf>
    <xf numFmtId="2" fontId="20" fillId="0" borderId="2" xfId="0" applyNumberFormat="1" applyFont="1" applyBorder="1" applyAlignment="1">
      <alignment horizontal="center" vertical="center"/>
    </xf>
  </cellXfs>
  <cellStyles count="20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Hyperlink 15" xfId="12" xr:uid="{00000000-0005-0000-0000-000011000000}"/>
    <cellStyle name="Neutral 16" xfId="13" xr:uid="{00000000-0005-0000-0000-000012000000}"/>
    <cellStyle name="Normal" xfId="0" builtinId="0"/>
    <cellStyle name="Note 17" xfId="14" xr:uid="{00000000-0005-0000-0000-000013000000}"/>
    <cellStyle name="Result 18" xfId="15" xr:uid="{00000000-0005-0000-0000-000014000000}"/>
    <cellStyle name="Resultado2" xfId="16" xr:uid="{00000000-0005-0000-0000-000015000000}"/>
    <cellStyle name="Status 19" xfId="17" xr:uid="{00000000-0005-0000-0000-000016000000}"/>
    <cellStyle name="Text 20" xfId="18" xr:uid="{00000000-0005-0000-0000-000017000000}"/>
    <cellStyle name="Warning 21" xfId="19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66"/>
      <rgbColor rgb="FF0000EE"/>
      <rgbColor rgb="FFFFFF00"/>
      <rgbColor rgb="FFFFB66C"/>
      <rgbColor rgb="FFA9D08E"/>
      <rgbColor rgb="FFC00000"/>
      <rgbColor rgb="FF006600"/>
      <rgbColor rgb="FF000080"/>
      <rgbColor rgb="FF996600"/>
      <rgbColor rgb="FFFBF4CA"/>
      <rgbColor rgb="FFD0CECE"/>
      <rgbColor rgb="FFB7B3CA"/>
      <rgbColor rgb="FF808080"/>
      <rgbColor rgb="FF8EA9DB"/>
      <rgbColor rgb="FF7030A0"/>
      <rgbColor rgb="FFFFFFCC"/>
      <rgbColor rgb="FFCAEDFB"/>
      <rgbColor rgb="FF660066"/>
      <rgbColor rgb="FFFF7C80"/>
      <rgbColor rgb="FFDDDDDD"/>
      <rgbColor rgb="FFBDD7EE"/>
      <rgbColor rgb="FF000080"/>
      <rgbColor rgb="FFFFCCCC"/>
      <rgbColor rgb="FFFFD966"/>
      <rgbColor rgb="FFC1F0C8"/>
      <rgbColor rgb="FF800080"/>
      <rgbColor rgb="FFCC0000"/>
      <rgbColor rgb="FFC6E0B4"/>
      <rgbColor rgb="FF0000FF"/>
      <rgbColor rgb="FF00B0F0"/>
      <rgbColor rgb="FFDAE9F8"/>
      <rgbColor rgb="FFCCFFCC"/>
      <rgbColor rgb="FFE8F2A1"/>
      <rgbColor rgb="FFC0E6F5"/>
      <rgbColor rgb="FFFFA6A6"/>
      <rgbColor rgb="FFCCCCCC"/>
      <rgbColor rgb="FFF8CBAD"/>
      <rgbColor rgb="FFAFD095"/>
      <rgbColor rgb="FF00DE64"/>
      <rgbColor rgb="FF92D050"/>
      <rgbColor rgb="FFFFC000"/>
      <rgbColor rgb="FFFFBF00"/>
      <rgbColor rgb="FFED7D31"/>
      <rgbColor rgb="FFBF8F00"/>
      <rgbColor rgb="FF729FCF"/>
      <rgbColor rgb="FF003366"/>
      <rgbColor rgb="FF00B050"/>
      <rgbColor rgb="FF003300"/>
      <rgbColor rgb="FFFFE699"/>
      <rgbColor rgb="FFC9211E"/>
      <rgbColor rgb="FFED1C24"/>
      <rgbColor rgb="FFFCE4D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799560</xdr:colOff>
      <xdr:row>172</xdr:row>
      <xdr:rowOff>257400</xdr:rowOff>
    </xdr:from>
    <xdr:to>
      <xdr:col>1</xdr:col>
      <xdr:colOff>849240</xdr:colOff>
      <xdr:row>172</xdr:row>
      <xdr:rowOff>401040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76360" y="69971040"/>
          <a:ext cx="49680" cy="143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212760</xdr:colOff>
      <xdr:row>124</xdr:row>
      <xdr:rowOff>30600</xdr:rowOff>
    </xdr:from>
    <xdr:to>
      <xdr:col>20</xdr:col>
      <xdr:colOff>259200</xdr:colOff>
      <xdr:row>124</xdr:row>
      <xdr:rowOff>91080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958000" y="37892520"/>
          <a:ext cx="4644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212760</xdr:colOff>
      <xdr:row>124</xdr:row>
      <xdr:rowOff>30600</xdr:rowOff>
    </xdr:from>
    <xdr:to>
      <xdr:col>20</xdr:col>
      <xdr:colOff>259200</xdr:colOff>
      <xdr:row>124</xdr:row>
      <xdr:rowOff>91080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958000" y="37892520"/>
          <a:ext cx="4644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646560</xdr:colOff>
      <xdr:row>124</xdr:row>
      <xdr:rowOff>30600</xdr:rowOff>
    </xdr:from>
    <xdr:to>
      <xdr:col>20</xdr:col>
      <xdr:colOff>699120</xdr:colOff>
      <xdr:row>124</xdr:row>
      <xdr:rowOff>91080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391800" y="37892520"/>
          <a:ext cx="5256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646560</xdr:colOff>
      <xdr:row>124</xdr:row>
      <xdr:rowOff>30600</xdr:rowOff>
    </xdr:from>
    <xdr:to>
      <xdr:col>20</xdr:col>
      <xdr:colOff>699120</xdr:colOff>
      <xdr:row>124</xdr:row>
      <xdr:rowOff>91080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5391800" y="37892520"/>
          <a:ext cx="5256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1117800</xdr:colOff>
      <xdr:row>124</xdr:row>
      <xdr:rowOff>30600</xdr:rowOff>
    </xdr:from>
    <xdr:to>
      <xdr:col>20</xdr:col>
      <xdr:colOff>1172880</xdr:colOff>
      <xdr:row>124</xdr:row>
      <xdr:rowOff>91080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5863040" y="37892520"/>
          <a:ext cx="5508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1117800</xdr:colOff>
      <xdr:row>124</xdr:row>
      <xdr:rowOff>30600</xdr:rowOff>
    </xdr:from>
    <xdr:to>
      <xdr:col>20</xdr:col>
      <xdr:colOff>1172880</xdr:colOff>
      <xdr:row>124</xdr:row>
      <xdr:rowOff>91080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5863040" y="37892520"/>
          <a:ext cx="5508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1604160</xdr:colOff>
      <xdr:row>124</xdr:row>
      <xdr:rowOff>30600</xdr:rowOff>
    </xdr:from>
    <xdr:to>
      <xdr:col>20</xdr:col>
      <xdr:colOff>1659240</xdr:colOff>
      <xdr:row>124</xdr:row>
      <xdr:rowOff>91080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6349400" y="37892520"/>
          <a:ext cx="5508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1604160</xdr:colOff>
      <xdr:row>124</xdr:row>
      <xdr:rowOff>30600</xdr:rowOff>
    </xdr:from>
    <xdr:to>
      <xdr:col>20</xdr:col>
      <xdr:colOff>1659240</xdr:colOff>
      <xdr:row>124</xdr:row>
      <xdr:rowOff>91080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6349400" y="37892520"/>
          <a:ext cx="5508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2090520</xdr:colOff>
      <xdr:row>124</xdr:row>
      <xdr:rowOff>30600</xdr:rowOff>
    </xdr:from>
    <xdr:to>
      <xdr:col>20</xdr:col>
      <xdr:colOff>2126160</xdr:colOff>
      <xdr:row>124</xdr:row>
      <xdr:rowOff>91080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6835760" y="37892520"/>
          <a:ext cx="3564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2090520</xdr:colOff>
      <xdr:row>124</xdr:row>
      <xdr:rowOff>30600</xdr:rowOff>
    </xdr:from>
    <xdr:to>
      <xdr:col>20</xdr:col>
      <xdr:colOff>2126160</xdr:colOff>
      <xdr:row>124</xdr:row>
      <xdr:rowOff>91080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6835760" y="37892520"/>
          <a:ext cx="3564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2514600</xdr:colOff>
      <xdr:row>124</xdr:row>
      <xdr:rowOff>30600</xdr:rowOff>
    </xdr:from>
    <xdr:to>
      <xdr:col>20</xdr:col>
      <xdr:colOff>2557800</xdr:colOff>
      <xdr:row>124</xdr:row>
      <xdr:rowOff>91080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7259840" y="37892520"/>
          <a:ext cx="4320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2514600</xdr:colOff>
      <xdr:row>124</xdr:row>
      <xdr:rowOff>30600</xdr:rowOff>
    </xdr:from>
    <xdr:to>
      <xdr:col>20</xdr:col>
      <xdr:colOff>2557800</xdr:colOff>
      <xdr:row>124</xdr:row>
      <xdr:rowOff>91080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7259840" y="37892520"/>
          <a:ext cx="4320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21</xdr:col>
      <xdr:colOff>249840</xdr:colOff>
      <xdr:row>124</xdr:row>
      <xdr:rowOff>30600</xdr:rowOff>
    </xdr:from>
    <xdr:to>
      <xdr:col>21</xdr:col>
      <xdr:colOff>294120</xdr:colOff>
      <xdr:row>124</xdr:row>
      <xdr:rowOff>91080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7665200" y="37892520"/>
          <a:ext cx="4428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21</xdr:col>
      <xdr:colOff>249840</xdr:colOff>
      <xdr:row>124</xdr:row>
      <xdr:rowOff>30600</xdr:rowOff>
    </xdr:from>
    <xdr:to>
      <xdr:col>21</xdr:col>
      <xdr:colOff>294120</xdr:colOff>
      <xdr:row>124</xdr:row>
      <xdr:rowOff>91080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7665200" y="37892520"/>
          <a:ext cx="44280" cy="6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" displayName="__Anonymous_Sheet_DB__0" ref="A1:Y373" totalsRowShown="0">
  <autoFilter ref="A1:Y373" xr:uid="{00000000-0009-0000-0100-000001000000}"/>
  <tableColumns count="25">
    <tableColumn id="1" xr3:uid="{00000000-0010-0000-0000-000001000000}" name="Nº do Relatório"/>
    <tableColumn id="2" xr3:uid="{00000000-0010-0000-0000-000002000000}" name="Empresa"/>
    <tableColumn id="3" xr3:uid="{00000000-0010-0000-0000-000003000000}" name="Nº da CAT"/>
    <tableColumn id="4" xr3:uid="{00000000-0010-0000-0000-000004000000}" name="Vitima(s) do Acidente"/>
    <tableColumn id="5" xr3:uid="{00000000-0010-0000-0000-000005000000}" name="Sexo"/>
    <tableColumn id="6" xr3:uid="{00000000-0010-0000-0000-000006000000}" name="Função"/>
    <tableColumn id="7" xr3:uid="{00000000-0010-0000-0000-000007000000}" name="Mês"/>
    <tableColumn id="8" xr3:uid="{00000000-0010-0000-0000-000008000000}" name="Setor"/>
    <tableColumn id="9" xr3:uid="{00000000-0010-0000-0000-000009000000}" name="Lotação do Funcionário"/>
    <tableColumn id="10" xr3:uid="{00000000-0010-0000-0000-00000A000000}" name="Data do Acidente"/>
    <tableColumn id="11" xr3:uid="{00000000-0010-0000-0000-00000B000000}" name="Ano de Emissão"/>
    <tableColumn id="12" xr3:uid="{00000000-0010-0000-0000-00000C000000}" name="Data de emissão"/>
    <tableColumn id="13" xr3:uid="{00000000-0010-0000-0000-00000D000000}" name="Hora do Acidente"/>
    <tableColumn id="14" xr3:uid="{00000000-0010-0000-0000-00000E000000}" name="Parte do Corpo Atingida"/>
    <tableColumn id="15" xr3:uid="{00000000-0010-0000-0000-00000F000000}" name="Agente Causador"/>
    <tableColumn id="16" xr3:uid="{00000000-0010-0000-0000-000010000000}" name="Tipo do Acidente"/>
    <tableColumn id="17" xr3:uid="{00000000-0010-0000-0000-000011000000}" name="CID"/>
    <tableColumn id="18" xr3:uid="{00000000-0010-0000-0000-000012000000}" name="Dias Afastado"/>
    <tableColumn id="19" xr3:uid="{00000000-0010-0000-0000-000013000000}" name="Setor destinatário"/>
    <tableColumn id="20" xr3:uid="{00000000-0010-0000-0000-000014000000}" name="Assunto"/>
    <tableColumn id="21" xr3:uid="{00000000-0010-0000-0000-000015000000}" name="CI Atrelada/ SEI"/>
    <tableColumn id="22" xr3:uid="{00000000-0010-0000-0000-000016000000}" name="Prazo Para Resposta"/>
    <tableColumn id="23" xr3:uid="{00000000-0010-0000-0000-000017000000}" name="Prazo Restante"/>
    <tableColumn id="24" xr3:uid="{00000000-0010-0000-0000-000018000000}" name="Situação"/>
    <tableColumn id="25" xr3:uid="{00000000-0010-0000-0000-000019000000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1"/>
  <sheetViews>
    <sheetView tabSelected="1" topLeftCell="A368" zoomScaleNormal="100" workbookViewId="0">
      <selection activeCell="D372" sqref="D372"/>
    </sheetView>
  </sheetViews>
  <sheetFormatPr defaultColWidth="8.625" defaultRowHeight="14.25"/>
  <cols>
    <col min="1" max="1" width="8.75" customWidth="1"/>
    <col min="2" max="2" width="12.125" customWidth="1"/>
    <col min="3" max="3" width="20.25" customWidth="1"/>
    <col min="4" max="4" width="37.625" customWidth="1"/>
    <col min="5" max="5" width="8.875" customWidth="1"/>
    <col min="6" max="6" width="23.125" customWidth="1"/>
    <col min="7" max="7" width="10.625" customWidth="1"/>
    <col min="8" max="8" width="14.625" customWidth="1"/>
    <col min="9" max="9" width="17.875" customWidth="1"/>
    <col min="10" max="10" width="15.75" customWidth="1"/>
    <col min="11" max="11" width="9" customWidth="1"/>
    <col min="12" max="12" width="14.75" customWidth="1"/>
    <col min="13" max="13" width="13" customWidth="1"/>
    <col min="14" max="14" width="18.625" customWidth="1"/>
    <col min="15" max="15" width="16.625" customWidth="1"/>
    <col min="16" max="16" width="14.75" customWidth="1"/>
    <col min="17" max="18" width="16.625" customWidth="1"/>
    <col min="19" max="19" width="21.125" customWidth="1"/>
    <col min="20" max="20" width="63.875" customWidth="1"/>
    <col min="21" max="21" width="12.75" customWidth="1"/>
    <col min="22" max="22" width="10.625" customWidth="1"/>
    <col min="23" max="23" width="12.25" customWidth="1"/>
    <col min="24" max="24" width="10.625" customWidth="1"/>
    <col min="25" max="25" width="45.125" customWidth="1"/>
    <col min="26" max="26" width="9" customWidth="1"/>
  </cols>
  <sheetData>
    <row r="1" spans="1:25" s="16" customFormat="1" ht="28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</row>
    <row r="2" spans="1:25" ht="30" customHeight="1">
      <c r="A2" s="17">
        <v>1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31</v>
      </c>
      <c r="I2" s="17"/>
      <c r="J2" s="18">
        <v>41883</v>
      </c>
      <c r="K2" s="17">
        <v>2014</v>
      </c>
      <c r="L2" s="18">
        <v>41891</v>
      </c>
      <c r="M2" s="19">
        <v>0.47916666666666702</v>
      </c>
      <c r="N2" s="20" t="s">
        <v>32</v>
      </c>
      <c r="O2" s="20" t="s">
        <v>33</v>
      </c>
      <c r="P2" s="20" t="s">
        <v>34</v>
      </c>
      <c r="Q2" s="20" t="s">
        <v>35</v>
      </c>
      <c r="R2" s="21">
        <v>0</v>
      </c>
      <c r="S2" s="20" t="s">
        <v>36</v>
      </c>
      <c r="T2" s="22"/>
      <c r="U2" s="23" t="s">
        <v>37</v>
      </c>
      <c r="V2" s="20" t="s">
        <v>37</v>
      </c>
      <c r="W2" s="24" t="s">
        <v>37</v>
      </c>
      <c r="X2" s="23" t="s">
        <v>38</v>
      </c>
      <c r="Y2" s="22"/>
    </row>
    <row r="3" spans="1:25" ht="30" customHeight="1">
      <c r="A3" s="17">
        <v>2</v>
      </c>
      <c r="B3" s="17" t="s">
        <v>25</v>
      </c>
      <c r="C3" s="17" t="s">
        <v>39</v>
      </c>
      <c r="D3" s="17" t="s">
        <v>40</v>
      </c>
      <c r="E3" s="17" t="s">
        <v>28</v>
      </c>
      <c r="F3" s="17" t="s">
        <v>29</v>
      </c>
      <c r="G3" s="17" t="s">
        <v>41</v>
      </c>
      <c r="H3" s="17" t="s">
        <v>42</v>
      </c>
      <c r="I3" s="17"/>
      <c r="J3" s="18">
        <v>41876</v>
      </c>
      <c r="K3" s="17">
        <v>2014</v>
      </c>
      <c r="L3" s="18">
        <v>41905</v>
      </c>
      <c r="M3" s="19">
        <v>0.79166666666666696</v>
      </c>
      <c r="N3" s="20" t="s">
        <v>43</v>
      </c>
      <c r="O3" s="20" t="s">
        <v>44</v>
      </c>
      <c r="P3" s="20" t="s">
        <v>34</v>
      </c>
      <c r="Q3" s="20" t="s">
        <v>45</v>
      </c>
      <c r="R3" s="21">
        <v>0</v>
      </c>
      <c r="S3" s="20" t="s">
        <v>36</v>
      </c>
      <c r="T3" s="22"/>
      <c r="U3" s="23" t="s">
        <v>37</v>
      </c>
      <c r="V3" s="20" t="s">
        <v>37</v>
      </c>
      <c r="W3" s="24" t="s">
        <v>37</v>
      </c>
      <c r="X3" s="23" t="s">
        <v>38</v>
      </c>
      <c r="Y3" s="22" t="s">
        <v>46</v>
      </c>
    </row>
    <row r="4" spans="1:25" ht="30" customHeight="1">
      <c r="A4" s="17">
        <v>3</v>
      </c>
      <c r="B4" s="17" t="s">
        <v>25</v>
      </c>
      <c r="C4" s="17" t="s">
        <v>47</v>
      </c>
      <c r="D4" s="17" t="s">
        <v>48</v>
      </c>
      <c r="E4" s="17" t="s">
        <v>49</v>
      </c>
      <c r="F4" s="17" t="s">
        <v>29</v>
      </c>
      <c r="G4" s="17" t="s">
        <v>50</v>
      </c>
      <c r="H4" s="17" t="s">
        <v>51</v>
      </c>
      <c r="I4" s="17"/>
      <c r="J4" s="18">
        <v>41911</v>
      </c>
      <c r="K4" s="17">
        <v>2014</v>
      </c>
      <c r="L4" s="18">
        <v>41914</v>
      </c>
      <c r="M4" s="19">
        <v>0.60416666666666696</v>
      </c>
      <c r="N4" s="20" t="s">
        <v>52</v>
      </c>
      <c r="O4" s="20" t="s">
        <v>53</v>
      </c>
      <c r="P4" s="20" t="s">
        <v>34</v>
      </c>
      <c r="Q4" s="20" t="s">
        <v>45</v>
      </c>
      <c r="R4" s="21">
        <v>0</v>
      </c>
      <c r="S4" s="20" t="s">
        <v>36</v>
      </c>
      <c r="T4" s="22"/>
      <c r="U4" s="23" t="s">
        <v>37</v>
      </c>
      <c r="V4" s="20" t="s">
        <v>37</v>
      </c>
      <c r="W4" s="24" t="s">
        <v>37</v>
      </c>
      <c r="X4" s="23" t="s">
        <v>38</v>
      </c>
      <c r="Y4" s="22"/>
    </row>
    <row r="5" spans="1:25" ht="30" customHeight="1">
      <c r="A5" s="17">
        <v>4</v>
      </c>
      <c r="B5" s="17" t="s">
        <v>25</v>
      </c>
      <c r="C5" s="17" t="s">
        <v>54</v>
      </c>
      <c r="D5" s="17" t="s">
        <v>55</v>
      </c>
      <c r="E5" s="17" t="s">
        <v>28</v>
      </c>
      <c r="F5" s="17" t="s">
        <v>29</v>
      </c>
      <c r="G5" s="17" t="s">
        <v>56</v>
      </c>
      <c r="H5" s="17" t="s">
        <v>57</v>
      </c>
      <c r="I5" s="17"/>
      <c r="J5" s="18">
        <v>41953</v>
      </c>
      <c r="K5" s="17">
        <v>2014</v>
      </c>
      <c r="L5" s="18">
        <v>41954</v>
      </c>
      <c r="M5" s="19">
        <v>0.54166666666666696</v>
      </c>
      <c r="N5" s="20" t="s">
        <v>58</v>
      </c>
      <c r="O5" s="20" t="s">
        <v>59</v>
      </c>
      <c r="P5" s="20" t="s">
        <v>34</v>
      </c>
      <c r="Q5" s="20" t="s">
        <v>60</v>
      </c>
      <c r="R5" s="21">
        <v>2</v>
      </c>
      <c r="S5" s="20" t="s">
        <v>36</v>
      </c>
      <c r="T5" s="22"/>
      <c r="U5" s="23" t="s">
        <v>37</v>
      </c>
      <c r="V5" s="20" t="s">
        <v>37</v>
      </c>
      <c r="W5" s="24" t="s">
        <v>37</v>
      </c>
      <c r="X5" s="23" t="s">
        <v>38</v>
      </c>
      <c r="Y5" s="22"/>
    </row>
    <row r="6" spans="1:25" ht="45" customHeight="1">
      <c r="A6" s="17">
        <v>5</v>
      </c>
      <c r="B6" s="17" t="s">
        <v>25</v>
      </c>
      <c r="C6" s="17" t="s">
        <v>61</v>
      </c>
      <c r="D6" s="17" t="s">
        <v>62</v>
      </c>
      <c r="E6" s="17" t="s">
        <v>49</v>
      </c>
      <c r="F6" s="17" t="s">
        <v>29</v>
      </c>
      <c r="G6" s="17" t="s">
        <v>56</v>
      </c>
      <c r="H6" s="17" t="s">
        <v>63</v>
      </c>
      <c r="I6" s="17"/>
      <c r="J6" s="18">
        <v>41954</v>
      </c>
      <c r="K6" s="17">
        <v>2014</v>
      </c>
      <c r="L6" s="18">
        <v>41956</v>
      </c>
      <c r="M6" s="19">
        <v>0.65972222222222199</v>
      </c>
      <c r="N6" s="20" t="s">
        <v>64</v>
      </c>
      <c r="O6" s="20" t="s">
        <v>65</v>
      </c>
      <c r="P6" s="20" t="s">
        <v>34</v>
      </c>
      <c r="Q6" s="20" t="s">
        <v>66</v>
      </c>
      <c r="R6" s="21">
        <v>0</v>
      </c>
      <c r="S6" s="20" t="s">
        <v>36</v>
      </c>
      <c r="T6" s="22"/>
      <c r="U6" s="23" t="s">
        <v>37</v>
      </c>
      <c r="V6" s="20" t="s">
        <v>37</v>
      </c>
      <c r="W6" s="24" t="s">
        <v>37</v>
      </c>
      <c r="X6" s="23" t="s">
        <v>38</v>
      </c>
      <c r="Y6" s="22"/>
    </row>
    <row r="7" spans="1:25" ht="45" customHeight="1">
      <c r="A7" s="17">
        <v>6</v>
      </c>
      <c r="B7" s="17" t="s">
        <v>25</v>
      </c>
      <c r="C7" s="17" t="s">
        <v>67</v>
      </c>
      <c r="D7" s="17" t="s">
        <v>68</v>
      </c>
      <c r="E7" s="17" t="s">
        <v>49</v>
      </c>
      <c r="F7" s="17" t="s">
        <v>69</v>
      </c>
      <c r="G7" s="17" t="s">
        <v>70</v>
      </c>
      <c r="H7" s="17" t="s">
        <v>71</v>
      </c>
      <c r="I7" s="17"/>
      <c r="J7" s="18">
        <v>41986</v>
      </c>
      <c r="K7" s="17">
        <v>2014</v>
      </c>
      <c r="L7" s="18">
        <v>41988</v>
      </c>
      <c r="M7" s="19">
        <v>0.39583333333333298</v>
      </c>
      <c r="N7" s="20" t="s">
        <v>64</v>
      </c>
      <c r="O7" s="20" t="s">
        <v>65</v>
      </c>
      <c r="P7" s="20" t="s">
        <v>34</v>
      </c>
      <c r="Q7" s="20" t="s">
        <v>66</v>
      </c>
      <c r="R7" s="21">
        <v>0</v>
      </c>
      <c r="S7" s="20" t="s">
        <v>36</v>
      </c>
      <c r="T7" s="22"/>
      <c r="U7" s="23" t="s">
        <v>37</v>
      </c>
      <c r="V7" s="20" t="s">
        <v>37</v>
      </c>
      <c r="W7" s="24" t="s">
        <v>37</v>
      </c>
      <c r="X7" s="23" t="s">
        <v>38</v>
      </c>
      <c r="Y7" s="22"/>
    </row>
    <row r="8" spans="1:25" ht="30" customHeight="1">
      <c r="A8" s="25">
        <v>7</v>
      </c>
      <c r="B8" s="25" t="s">
        <v>25</v>
      </c>
      <c r="C8" s="25" t="s">
        <v>72</v>
      </c>
      <c r="D8" s="25" t="s">
        <v>73</v>
      </c>
      <c r="E8" s="25" t="s">
        <v>28</v>
      </c>
      <c r="F8" s="25" t="s">
        <v>74</v>
      </c>
      <c r="G8" s="25" t="s">
        <v>75</v>
      </c>
      <c r="H8" s="25" t="s">
        <v>76</v>
      </c>
      <c r="I8" s="25"/>
      <c r="J8" s="26">
        <v>42036</v>
      </c>
      <c r="K8" s="25">
        <v>2015</v>
      </c>
      <c r="L8" s="26">
        <v>42039</v>
      </c>
      <c r="M8" s="27">
        <v>0.47916666666666702</v>
      </c>
      <c r="N8" s="28" t="s">
        <v>77</v>
      </c>
      <c r="O8" s="28" t="s">
        <v>78</v>
      </c>
      <c r="P8" s="28" t="s">
        <v>34</v>
      </c>
      <c r="Q8" s="28" t="s">
        <v>35</v>
      </c>
      <c r="R8" s="29">
        <v>0</v>
      </c>
      <c r="S8" s="28"/>
      <c r="T8" s="30"/>
      <c r="U8" s="31"/>
      <c r="V8" s="28"/>
      <c r="W8" s="32"/>
      <c r="X8" s="31"/>
      <c r="Y8" s="30"/>
    </row>
    <row r="9" spans="1:25" ht="30" customHeight="1">
      <c r="A9" s="25">
        <v>8</v>
      </c>
      <c r="B9" s="25" t="s">
        <v>25</v>
      </c>
      <c r="C9" s="25" t="s">
        <v>79</v>
      </c>
      <c r="D9" s="25" t="s">
        <v>80</v>
      </c>
      <c r="E9" s="25" t="s">
        <v>28</v>
      </c>
      <c r="F9" s="25" t="s">
        <v>81</v>
      </c>
      <c r="G9" s="25" t="s">
        <v>82</v>
      </c>
      <c r="H9" s="25" t="s">
        <v>83</v>
      </c>
      <c r="I9" s="25"/>
      <c r="J9" s="26">
        <v>42167</v>
      </c>
      <c r="K9" s="25">
        <v>2015</v>
      </c>
      <c r="L9" s="26">
        <v>42173</v>
      </c>
      <c r="M9" s="27">
        <v>0.70138888888888895</v>
      </c>
      <c r="N9" s="28" t="s">
        <v>84</v>
      </c>
      <c r="O9" s="28" t="s">
        <v>85</v>
      </c>
      <c r="P9" s="28" t="s">
        <v>34</v>
      </c>
      <c r="Q9" s="28" t="s">
        <v>86</v>
      </c>
      <c r="R9" s="29">
        <v>4</v>
      </c>
      <c r="S9" s="28" t="s">
        <v>83</v>
      </c>
      <c r="T9" s="30" t="s">
        <v>87</v>
      </c>
      <c r="U9" s="31" t="s">
        <v>88</v>
      </c>
      <c r="V9" s="28">
        <v>42180</v>
      </c>
      <c r="W9" s="32">
        <f ca="1">((V9) - TODAY())</f>
        <v>-4087</v>
      </c>
      <c r="X9" s="31" t="s">
        <v>89</v>
      </c>
      <c r="Y9" s="30" t="s">
        <v>90</v>
      </c>
    </row>
    <row r="10" spans="1:25" ht="60">
      <c r="A10" s="25">
        <v>9</v>
      </c>
      <c r="B10" s="25" t="s">
        <v>25</v>
      </c>
      <c r="C10" s="25" t="s">
        <v>91</v>
      </c>
      <c r="D10" s="25" t="s">
        <v>92</v>
      </c>
      <c r="E10" s="25" t="s">
        <v>49</v>
      </c>
      <c r="F10" s="25" t="s">
        <v>74</v>
      </c>
      <c r="G10" s="25" t="s">
        <v>82</v>
      </c>
      <c r="H10" s="25" t="s">
        <v>51</v>
      </c>
      <c r="I10" s="25"/>
      <c r="J10" s="26">
        <v>42171</v>
      </c>
      <c r="K10" s="25">
        <v>2015</v>
      </c>
      <c r="L10" s="26">
        <v>42174</v>
      </c>
      <c r="M10" s="27">
        <v>0.35763888888888901</v>
      </c>
      <c r="N10" s="28" t="s">
        <v>32</v>
      </c>
      <c r="O10" s="28" t="s">
        <v>93</v>
      </c>
      <c r="P10" s="28" t="s">
        <v>34</v>
      </c>
      <c r="Q10" s="28" t="s">
        <v>94</v>
      </c>
      <c r="R10" s="29">
        <v>1</v>
      </c>
      <c r="S10" s="28" t="s">
        <v>51</v>
      </c>
      <c r="T10" s="30" t="s">
        <v>95</v>
      </c>
      <c r="U10" s="31" t="s">
        <v>88</v>
      </c>
      <c r="V10" s="28">
        <v>42181</v>
      </c>
      <c r="W10" s="32">
        <f ca="1">((V10) - TODAY())</f>
        <v>-4086</v>
      </c>
      <c r="X10" s="31" t="s">
        <v>96</v>
      </c>
      <c r="Y10" s="30" t="s">
        <v>97</v>
      </c>
    </row>
    <row r="11" spans="1:25" ht="37.5" customHeight="1">
      <c r="A11" s="25">
        <v>10</v>
      </c>
      <c r="B11" s="25" t="s">
        <v>25</v>
      </c>
      <c r="C11" s="25" t="s">
        <v>98</v>
      </c>
      <c r="D11" s="25" t="s">
        <v>99</v>
      </c>
      <c r="E11" s="25" t="s">
        <v>28</v>
      </c>
      <c r="F11" s="25" t="s">
        <v>74</v>
      </c>
      <c r="G11" s="25" t="s">
        <v>41</v>
      </c>
      <c r="H11" s="25" t="s">
        <v>100</v>
      </c>
      <c r="I11" s="25"/>
      <c r="J11" s="26">
        <v>42279</v>
      </c>
      <c r="K11" s="25">
        <v>2015</v>
      </c>
      <c r="L11" s="26">
        <v>42587</v>
      </c>
      <c r="M11" s="27">
        <v>0.33333333333333298</v>
      </c>
      <c r="N11" s="28" t="s">
        <v>101</v>
      </c>
      <c r="O11" s="28" t="s">
        <v>102</v>
      </c>
      <c r="P11" s="28" t="s">
        <v>103</v>
      </c>
      <c r="Q11" s="28" t="s">
        <v>104</v>
      </c>
      <c r="R11" s="29">
        <v>1</v>
      </c>
      <c r="S11" s="28"/>
      <c r="T11" s="30"/>
      <c r="U11" s="31"/>
      <c r="V11" s="28"/>
      <c r="W11" s="32"/>
      <c r="X11" s="31"/>
      <c r="Y11" s="30"/>
    </row>
    <row r="12" spans="1:25" ht="30" customHeight="1">
      <c r="A12" s="25">
        <v>11</v>
      </c>
      <c r="B12" s="25" t="s">
        <v>25</v>
      </c>
      <c r="C12" s="25" t="s">
        <v>105</v>
      </c>
      <c r="D12" s="25" t="s">
        <v>106</v>
      </c>
      <c r="E12" s="25" t="s">
        <v>49</v>
      </c>
      <c r="F12" s="25" t="s">
        <v>74</v>
      </c>
      <c r="G12" s="25" t="s">
        <v>41</v>
      </c>
      <c r="H12" s="25" t="s">
        <v>107</v>
      </c>
      <c r="I12" s="25"/>
      <c r="J12" s="26">
        <v>42292</v>
      </c>
      <c r="K12" s="25">
        <v>2015</v>
      </c>
      <c r="L12" s="26">
        <v>42292</v>
      </c>
      <c r="M12" s="27">
        <v>0.55902777777777801</v>
      </c>
      <c r="N12" s="28" t="s">
        <v>32</v>
      </c>
      <c r="O12" s="28" t="s">
        <v>108</v>
      </c>
      <c r="P12" s="28" t="s">
        <v>34</v>
      </c>
      <c r="Q12" s="28" t="s">
        <v>35</v>
      </c>
      <c r="R12" s="29">
        <v>0</v>
      </c>
      <c r="S12" s="28" t="s">
        <v>36</v>
      </c>
      <c r="T12" s="33" t="s">
        <v>36</v>
      </c>
      <c r="U12" s="31" t="s">
        <v>37</v>
      </c>
      <c r="V12" s="28" t="s">
        <v>37</v>
      </c>
      <c r="W12" s="32" t="s">
        <v>37</v>
      </c>
      <c r="X12" s="31" t="s">
        <v>38</v>
      </c>
      <c r="Y12" s="30" t="s">
        <v>109</v>
      </c>
    </row>
    <row r="13" spans="1:25" ht="30" customHeight="1">
      <c r="A13" s="25">
        <v>12</v>
      </c>
      <c r="B13" s="25" t="s">
        <v>25</v>
      </c>
      <c r="C13" s="25" t="s">
        <v>110</v>
      </c>
      <c r="D13" s="25" t="s">
        <v>111</v>
      </c>
      <c r="E13" s="25" t="s">
        <v>49</v>
      </c>
      <c r="F13" s="25" t="s">
        <v>74</v>
      </c>
      <c r="G13" s="25" t="s">
        <v>41</v>
      </c>
      <c r="H13" s="25" t="s">
        <v>112</v>
      </c>
      <c r="I13" s="25"/>
      <c r="J13" s="26">
        <v>42307</v>
      </c>
      <c r="K13" s="25">
        <v>2015</v>
      </c>
      <c r="L13" s="26">
        <v>42328</v>
      </c>
      <c r="M13" s="27">
        <v>0.41666666666666702</v>
      </c>
      <c r="N13" s="28" t="s">
        <v>32</v>
      </c>
      <c r="O13" s="28" t="s">
        <v>108</v>
      </c>
      <c r="P13" s="28" t="s">
        <v>34</v>
      </c>
      <c r="Q13" s="28" t="s">
        <v>113</v>
      </c>
      <c r="R13" s="29">
        <v>0</v>
      </c>
      <c r="S13" s="28" t="s">
        <v>36</v>
      </c>
      <c r="T13" s="33" t="s">
        <v>36</v>
      </c>
      <c r="U13" s="31" t="s">
        <v>37</v>
      </c>
      <c r="V13" s="28" t="s">
        <v>37</v>
      </c>
      <c r="W13" s="32" t="s">
        <v>37</v>
      </c>
      <c r="X13" s="31" t="s">
        <v>38</v>
      </c>
      <c r="Y13" s="30" t="s">
        <v>109</v>
      </c>
    </row>
    <row r="14" spans="1:25" ht="30" customHeight="1">
      <c r="A14" s="25">
        <v>13</v>
      </c>
      <c r="B14" s="25" t="s">
        <v>25</v>
      </c>
      <c r="C14" s="25" t="s">
        <v>114</v>
      </c>
      <c r="D14" s="25" t="s">
        <v>115</v>
      </c>
      <c r="E14" s="25" t="s">
        <v>49</v>
      </c>
      <c r="F14" s="25" t="s">
        <v>116</v>
      </c>
      <c r="G14" s="25" t="s">
        <v>70</v>
      </c>
      <c r="H14" s="25" t="s">
        <v>117</v>
      </c>
      <c r="I14" s="25"/>
      <c r="J14" s="26">
        <v>42354</v>
      </c>
      <c r="K14" s="25">
        <v>2015</v>
      </c>
      <c r="L14" s="26">
        <v>42356</v>
      </c>
      <c r="M14" s="27">
        <v>0.75</v>
      </c>
      <c r="N14" s="28" t="s">
        <v>118</v>
      </c>
      <c r="O14" s="28" t="s">
        <v>119</v>
      </c>
      <c r="P14" s="28" t="s">
        <v>34</v>
      </c>
      <c r="Q14" s="28" t="s">
        <v>120</v>
      </c>
      <c r="R14" s="29">
        <v>3</v>
      </c>
      <c r="S14" s="28" t="s">
        <v>36</v>
      </c>
      <c r="T14" s="33" t="s">
        <v>36</v>
      </c>
      <c r="U14" s="31" t="s">
        <v>37</v>
      </c>
      <c r="V14" s="28" t="s">
        <v>37</v>
      </c>
      <c r="W14" s="32" t="s">
        <v>37</v>
      </c>
      <c r="X14" s="31" t="s">
        <v>38</v>
      </c>
      <c r="Y14" s="30"/>
    </row>
    <row r="15" spans="1:25" ht="30" customHeight="1">
      <c r="A15" s="25">
        <v>14</v>
      </c>
      <c r="B15" s="34" t="s">
        <v>25</v>
      </c>
      <c r="C15" s="34" t="s">
        <v>121</v>
      </c>
      <c r="D15" s="34" t="s">
        <v>122</v>
      </c>
      <c r="E15" s="34" t="s">
        <v>28</v>
      </c>
      <c r="F15" s="34" t="s">
        <v>123</v>
      </c>
      <c r="G15" s="34" t="s">
        <v>124</v>
      </c>
      <c r="H15" s="34" t="s">
        <v>117</v>
      </c>
      <c r="I15" s="34"/>
      <c r="J15" s="35">
        <v>42382</v>
      </c>
      <c r="K15" s="34">
        <v>2016</v>
      </c>
      <c r="L15" s="35">
        <v>42384</v>
      </c>
      <c r="M15" s="36">
        <v>0.71875</v>
      </c>
      <c r="N15" s="37" t="s">
        <v>125</v>
      </c>
      <c r="O15" s="37" t="s">
        <v>126</v>
      </c>
      <c r="P15" s="37" t="s">
        <v>34</v>
      </c>
      <c r="Q15" s="37" t="s">
        <v>127</v>
      </c>
      <c r="R15" s="38">
        <v>2</v>
      </c>
      <c r="S15" s="37" t="s">
        <v>36</v>
      </c>
      <c r="T15" s="39"/>
      <c r="U15" s="40" t="s">
        <v>37</v>
      </c>
      <c r="V15" s="37" t="s">
        <v>37</v>
      </c>
      <c r="W15" s="41" t="s">
        <v>37</v>
      </c>
      <c r="X15" s="40" t="s">
        <v>38</v>
      </c>
      <c r="Y15" s="42"/>
    </row>
    <row r="16" spans="1:25" ht="30" customHeight="1">
      <c r="A16" s="25">
        <v>15</v>
      </c>
      <c r="B16" s="34" t="s">
        <v>25</v>
      </c>
      <c r="C16" s="34" t="s">
        <v>128</v>
      </c>
      <c r="D16" s="34" t="s">
        <v>129</v>
      </c>
      <c r="E16" s="34" t="s">
        <v>28</v>
      </c>
      <c r="F16" s="34" t="s">
        <v>123</v>
      </c>
      <c r="G16" s="34" t="s">
        <v>75</v>
      </c>
      <c r="H16" s="34" t="s">
        <v>112</v>
      </c>
      <c r="I16" s="34"/>
      <c r="J16" s="35">
        <v>42429</v>
      </c>
      <c r="K16" s="34">
        <v>2016</v>
      </c>
      <c r="L16" s="35">
        <v>42430</v>
      </c>
      <c r="M16" s="36">
        <v>0.625</v>
      </c>
      <c r="N16" s="37" t="s">
        <v>32</v>
      </c>
      <c r="O16" s="37" t="s">
        <v>108</v>
      </c>
      <c r="P16" s="37" t="s">
        <v>34</v>
      </c>
      <c r="Q16" s="37" t="s">
        <v>130</v>
      </c>
      <c r="R16" s="38">
        <v>0</v>
      </c>
      <c r="S16" s="37" t="s">
        <v>131</v>
      </c>
      <c r="T16" s="39" t="s">
        <v>36</v>
      </c>
      <c r="U16" s="40" t="s">
        <v>88</v>
      </c>
      <c r="V16" s="37" t="s">
        <v>37</v>
      </c>
      <c r="W16" s="41" t="s">
        <v>37</v>
      </c>
      <c r="X16" s="40" t="s">
        <v>38</v>
      </c>
      <c r="Y16" s="42"/>
    </row>
    <row r="17" spans="1:25" ht="39.75" customHeight="1">
      <c r="A17" s="25">
        <v>16</v>
      </c>
      <c r="B17" s="34" t="s">
        <v>25</v>
      </c>
      <c r="C17" s="34" t="s">
        <v>132</v>
      </c>
      <c r="D17" s="34" t="s">
        <v>133</v>
      </c>
      <c r="E17" s="34" t="s">
        <v>49</v>
      </c>
      <c r="F17" s="34" t="s">
        <v>123</v>
      </c>
      <c r="G17" s="34" t="s">
        <v>134</v>
      </c>
      <c r="H17" s="34" t="s">
        <v>135</v>
      </c>
      <c r="I17" s="34"/>
      <c r="J17" s="35">
        <v>42452</v>
      </c>
      <c r="K17" s="34">
        <v>2016</v>
      </c>
      <c r="L17" s="35">
        <v>42459</v>
      </c>
      <c r="M17" s="36">
        <v>0.66666666666666696</v>
      </c>
      <c r="N17" s="37" t="s">
        <v>136</v>
      </c>
      <c r="O17" s="37" t="s">
        <v>108</v>
      </c>
      <c r="P17" s="37" t="s">
        <v>34</v>
      </c>
      <c r="Q17" s="37" t="s">
        <v>113</v>
      </c>
      <c r="R17" s="38">
        <v>0</v>
      </c>
      <c r="S17" s="37" t="s">
        <v>131</v>
      </c>
      <c r="T17" s="43" t="s">
        <v>137</v>
      </c>
      <c r="U17" s="40" t="s">
        <v>88</v>
      </c>
      <c r="V17" s="37" t="s">
        <v>37</v>
      </c>
      <c r="W17" s="41" t="s">
        <v>37</v>
      </c>
      <c r="X17" s="40" t="s">
        <v>38</v>
      </c>
      <c r="Y17" s="42"/>
    </row>
    <row r="18" spans="1:25" ht="30" customHeight="1">
      <c r="A18" s="25">
        <v>17</v>
      </c>
      <c r="B18" s="34" t="s">
        <v>25</v>
      </c>
      <c r="C18" s="34" t="s">
        <v>138</v>
      </c>
      <c r="D18" s="34" t="s">
        <v>139</v>
      </c>
      <c r="E18" s="34" t="s">
        <v>49</v>
      </c>
      <c r="F18" s="34" t="s">
        <v>140</v>
      </c>
      <c r="G18" s="34" t="s">
        <v>134</v>
      </c>
      <c r="H18" s="34" t="s">
        <v>141</v>
      </c>
      <c r="I18" s="34"/>
      <c r="J18" s="35">
        <v>42449</v>
      </c>
      <c r="K18" s="34">
        <v>2016</v>
      </c>
      <c r="L18" s="35">
        <v>42461</v>
      </c>
      <c r="M18" s="36">
        <v>0.6875</v>
      </c>
      <c r="N18" s="37" t="s">
        <v>142</v>
      </c>
      <c r="O18" s="37" t="s">
        <v>143</v>
      </c>
      <c r="P18" s="37" t="s">
        <v>144</v>
      </c>
      <c r="Q18" s="37" t="s">
        <v>145</v>
      </c>
      <c r="R18" s="38">
        <v>15</v>
      </c>
      <c r="S18" s="37" t="s">
        <v>37</v>
      </c>
      <c r="T18" s="43" t="s">
        <v>37</v>
      </c>
      <c r="U18" s="40" t="s">
        <v>37</v>
      </c>
      <c r="V18" s="37" t="s">
        <v>37</v>
      </c>
      <c r="W18" s="41" t="s">
        <v>37</v>
      </c>
      <c r="X18" s="40" t="s">
        <v>38</v>
      </c>
      <c r="Y18" s="42"/>
    </row>
    <row r="19" spans="1:25" ht="30" customHeight="1">
      <c r="A19" s="25">
        <v>18</v>
      </c>
      <c r="B19" s="34" t="s">
        <v>25</v>
      </c>
      <c r="C19" s="34" t="s">
        <v>146</v>
      </c>
      <c r="D19" s="34" t="s">
        <v>147</v>
      </c>
      <c r="E19" s="34" t="s">
        <v>49</v>
      </c>
      <c r="F19" s="34" t="s">
        <v>148</v>
      </c>
      <c r="G19" s="34" t="s">
        <v>149</v>
      </c>
      <c r="H19" s="34" t="s">
        <v>51</v>
      </c>
      <c r="I19" s="34"/>
      <c r="J19" s="35">
        <v>42486</v>
      </c>
      <c r="K19" s="34">
        <v>2016</v>
      </c>
      <c r="L19" s="35">
        <v>42487</v>
      </c>
      <c r="M19" s="36">
        <v>0.625</v>
      </c>
      <c r="N19" s="37" t="s">
        <v>64</v>
      </c>
      <c r="O19" s="37" t="s">
        <v>108</v>
      </c>
      <c r="P19" s="37" t="s">
        <v>34</v>
      </c>
      <c r="Q19" s="37" t="s">
        <v>113</v>
      </c>
      <c r="R19" s="38">
        <v>0</v>
      </c>
      <c r="S19" s="37" t="s">
        <v>36</v>
      </c>
      <c r="T19" s="43" t="s">
        <v>36</v>
      </c>
      <c r="U19" s="40" t="s">
        <v>37</v>
      </c>
      <c r="V19" s="37" t="s">
        <v>37</v>
      </c>
      <c r="W19" s="41" t="s">
        <v>37</v>
      </c>
      <c r="X19" s="40" t="s">
        <v>38</v>
      </c>
      <c r="Y19" s="42"/>
    </row>
    <row r="20" spans="1:25" ht="30" customHeight="1">
      <c r="A20" s="25">
        <v>19</v>
      </c>
      <c r="B20" s="34" t="s">
        <v>25</v>
      </c>
      <c r="C20" s="34" t="s">
        <v>150</v>
      </c>
      <c r="D20" s="34" t="s">
        <v>92</v>
      </c>
      <c r="E20" s="34" t="s">
        <v>49</v>
      </c>
      <c r="F20" s="34" t="s">
        <v>151</v>
      </c>
      <c r="G20" s="34" t="s">
        <v>82</v>
      </c>
      <c r="H20" s="34" t="s">
        <v>51</v>
      </c>
      <c r="I20" s="34"/>
      <c r="J20" s="35">
        <v>42522</v>
      </c>
      <c r="K20" s="34">
        <v>2016</v>
      </c>
      <c r="L20" s="35">
        <v>42487</v>
      </c>
      <c r="M20" s="36">
        <v>0.44444444444444398</v>
      </c>
      <c r="N20" s="37" t="s">
        <v>32</v>
      </c>
      <c r="O20" s="37" t="s">
        <v>108</v>
      </c>
      <c r="P20" s="37" t="s">
        <v>34</v>
      </c>
      <c r="Q20" s="37" t="s">
        <v>113</v>
      </c>
      <c r="R20" s="38">
        <v>0</v>
      </c>
      <c r="S20" s="37" t="s">
        <v>36</v>
      </c>
      <c r="T20" s="43" t="s">
        <v>36</v>
      </c>
      <c r="U20" s="40" t="s">
        <v>37</v>
      </c>
      <c r="V20" s="37" t="s">
        <v>37</v>
      </c>
      <c r="W20" s="41" t="s">
        <v>37</v>
      </c>
      <c r="X20" s="40" t="s">
        <v>38</v>
      </c>
      <c r="Y20" s="42"/>
    </row>
    <row r="21" spans="1:25" ht="30" customHeight="1">
      <c r="A21" s="25">
        <v>20</v>
      </c>
      <c r="B21" s="34" t="s">
        <v>25</v>
      </c>
      <c r="C21" s="34" t="s">
        <v>152</v>
      </c>
      <c r="D21" s="34" t="s">
        <v>153</v>
      </c>
      <c r="E21" s="34" t="s">
        <v>49</v>
      </c>
      <c r="F21" s="34" t="s">
        <v>151</v>
      </c>
      <c r="G21" s="34" t="s">
        <v>82</v>
      </c>
      <c r="H21" s="34" t="s">
        <v>135</v>
      </c>
      <c r="I21" s="34"/>
      <c r="J21" s="35">
        <v>42534</v>
      </c>
      <c r="K21" s="34">
        <v>2016</v>
      </c>
      <c r="L21" s="35">
        <v>42537</v>
      </c>
      <c r="M21" s="36">
        <v>0.375</v>
      </c>
      <c r="N21" s="37" t="s">
        <v>64</v>
      </c>
      <c r="O21" s="37" t="s">
        <v>108</v>
      </c>
      <c r="P21" s="37" t="s">
        <v>34</v>
      </c>
      <c r="Q21" s="37" t="s">
        <v>113</v>
      </c>
      <c r="R21" s="38">
        <v>0</v>
      </c>
      <c r="S21" s="37" t="s">
        <v>36</v>
      </c>
      <c r="T21" s="43" t="s">
        <v>36</v>
      </c>
      <c r="U21" s="40" t="s">
        <v>37</v>
      </c>
      <c r="V21" s="37" t="s">
        <v>37</v>
      </c>
      <c r="W21" s="41" t="s">
        <v>37</v>
      </c>
      <c r="X21" s="40" t="s">
        <v>38</v>
      </c>
      <c r="Y21" s="42"/>
    </row>
    <row r="22" spans="1:25" ht="30" customHeight="1">
      <c r="A22" s="25">
        <v>21</v>
      </c>
      <c r="B22" s="34" t="s">
        <v>25</v>
      </c>
      <c r="C22" s="34" t="s">
        <v>154</v>
      </c>
      <c r="D22" s="34" t="s">
        <v>155</v>
      </c>
      <c r="E22" s="34" t="s">
        <v>49</v>
      </c>
      <c r="F22" s="34" t="s">
        <v>156</v>
      </c>
      <c r="G22" s="34" t="s">
        <v>157</v>
      </c>
      <c r="H22" s="34" t="s">
        <v>51</v>
      </c>
      <c r="I22" s="34"/>
      <c r="J22" s="35">
        <v>42563</v>
      </c>
      <c r="K22" s="34">
        <v>2016</v>
      </c>
      <c r="L22" s="35">
        <v>42564</v>
      </c>
      <c r="M22" s="36">
        <v>0.64583333333333304</v>
      </c>
      <c r="N22" s="37" t="s">
        <v>64</v>
      </c>
      <c r="O22" s="37" t="s">
        <v>108</v>
      </c>
      <c r="P22" s="37" t="s">
        <v>34</v>
      </c>
      <c r="Q22" s="37" t="s">
        <v>113</v>
      </c>
      <c r="R22" s="38">
        <v>0</v>
      </c>
      <c r="S22" s="37" t="s">
        <v>36</v>
      </c>
      <c r="T22" s="43" t="s">
        <v>36</v>
      </c>
      <c r="U22" s="40" t="s">
        <v>37</v>
      </c>
      <c r="V22" s="37" t="s">
        <v>37</v>
      </c>
      <c r="W22" s="41" t="s">
        <v>37</v>
      </c>
      <c r="X22" s="40" t="s">
        <v>38</v>
      </c>
      <c r="Y22" s="42"/>
    </row>
    <row r="23" spans="1:25" ht="30" customHeight="1">
      <c r="A23" s="25">
        <v>22</v>
      </c>
      <c r="B23" s="34" t="s">
        <v>25</v>
      </c>
      <c r="C23" s="34" t="s">
        <v>158</v>
      </c>
      <c r="D23" s="34" t="s">
        <v>159</v>
      </c>
      <c r="E23" s="34" t="s">
        <v>28</v>
      </c>
      <c r="F23" s="34" t="s">
        <v>160</v>
      </c>
      <c r="G23" s="34" t="s">
        <v>157</v>
      </c>
      <c r="H23" s="34" t="s">
        <v>51</v>
      </c>
      <c r="I23" s="34"/>
      <c r="J23" s="35">
        <v>42563</v>
      </c>
      <c r="K23" s="34">
        <v>2016</v>
      </c>
      <c r="L23" s="35">
        <v>42569</v>
      </c>
      <c r="M23" s="36">
        <v>0.60416666666666696</v>
      </c>
      <c r="N23" s="37" t="s">
        <v>64</v>
      </c>
      <c r="O23" s="37" t="s">
        <v>108</v>
      </c>
      <c r="P23" s="37" t="s">
        <v>34</v>
      </c>
      <c r="Q23" s="37" t="s">
        <v>113</v>
      </c>
      <c r="R23" s="38">
        <v>0</v>
      </c>
      <c r="S23" s="37" t="s">
        <v>36</v>
      </c>
      <c r="T23" s="43" t="s">
        <v>36</v>
      </c>
      <c r="U23" s="40" t="s">
        <v>37</v>
      </c>
      <c r="V23" s="37" t="s">
        <v>37</v>
      </c>
      <c r="W23" s="41" t="s">
        <v>37</v>
      </c>
      <c r="X23" s="40" t="s">
        <v>38</v>
      </c>
      <c r="Y23" s="42"/>
    </row>
    <row r="24" spans="1:25" ht="15" customHeight="1">
      <c r="A24" s="25">
        <v>23</v>
      </c>
      <c r="B24" s="34" t="s">
        <v>25</v>
      </c>
      <c r="C24" s="34" t="s">
        <v>161</v>
      </c>
      <c r="D24" s="34" t="s">
        <v>162</v>
      </c>
      <c r="E24" s="34" t="s">
        <v>49</v>
      </c>
      <c r="F24" s="34" t="s">
        <v>81</v>
      </c>
      <c r="G24" s="34" t="s">
        <v>157</v>
      </c>
      <c r="H24" s="34" t="s">
        <v>71</v>
      </c>
      <c r="I24" s="34"/>
      <c r="J24" s="35">
        <v>42559</v>
      </c>
      <c r="K24" s="34">
        <v>2016</v>
      </c>
      <c r="L24" s="35">
        <v>42578</v>
      </c>
      <c r="M24" s="36">
        <v>0.66666666666666696</v>
      </c>
      <c r="N24" s="37" t="s">
        <v>32</v>
      </c>
      <c r="O24" s="37" t="s">
        <v>108</v>
      </c>
      <c r="P24" s="37" t="s">
        <v>34</v>
      </c>
      <c r="Q24" s="37" t="s">
        <v>35</v>
      </c>
      <c r="R24" s="38">
        <v>0</v>
      </c>
      <c r="S24" s="37" t="s">
        <v>36</v>
      </c>
      <c r="T24" s="43" t="s">
        <v>36</v>
      </c>
      <c r="U24" s="40" t="s">
        <v>37</v>
      </c>
      <c r="V24" s="37" t="s">
        <v>37</v>
      </c>
      <c r="W24" s="41" t="s">
        <v>37</v>
      </c>
      <c r="X24" s="40" t="s">
        <v>38</v>
      </c>
      <c r="Y24" s="42"/>
    </row>
    <row r="25" spans="1:25" ht="30" customHeight="1">
      <c r="A25" s="25">
        <v>24</v>
      </c>
      <c r="B25" s="34" t="s">
        <v>25</v>
      </c>
      <c r="C25" s="34" t="s">
        <v>163</v>
      </c>
      <c r="D25" s="34" t="s">
        <v>164</v>
      </c>
      <c r="E25" s="34" t="s">
        <v>49</v>
      </c>
      <c r="F25" s="34" t="s">
        <v>151</v>
      </c>
      <c r="G25" s="34" t="s">
        <v>30</v>
      </c>
      <c r="H25" s="34" t="s">
        <v>76</v>
      </c>
      <c r="I25" s="34"/>
      <c r="J25" s="35">
        <v>42600</v>
      </c>
      <c r="K25" s="34">
        <v>2016</v>
      </c>
      <c r="L25" s="35">
        <v>42608</v>
      </c>
      <c r="M25" s="36">
        <v>0.59722222222222199</v>
      </c>
      <c r="N25" s="37" t="s">
        <v>64</v>
      </c>
      <c r="O25" s="37" t="s">
        <v>108</v>
      </c>
      <c r="P25" s="37" t="s">
        <v>34</v>
      </c>
      <c r="Q25" s="37" t="s">
        <v>113</v>
      </c>
      <c r="R25" s="38">
        <v>0</v>
      </c>
      <c r="S25" s="37" t="s">
        <v>36</v>
      </c>
      <c r="T25" s="43" t="s">
        <v>36</v>
      </c>
      <c r="U25" s="40" t="s">
        <v>37</v>
      </c>
      <c r="V25" s="37" t="s">
        <v>37</v>
      </c>
      <c r="W25" s="41" t="s">
        <v>37</v>
      </c>
      <c r="X25" s="40" t="s">
        <v>38</v>
      </c>
      <c r="Y25" s="42"/>
    </row>
    <row r="26" spans="1:25" ht="30" customHeight="1">
      <c r="A26" s="25">
        <v>25</v>
      </c>
      <c r="B26" s="34" t="s">
        <v>25</v>
      </c>
      <c r="C26" s="34" t="s">
        <v>165</v>
      </c>
      <c r="D26" s="34" t="s">
        <v>166</v>
      </c>
      <c r="E26" s="34" t="s">
        <v>28</v>
      </c>
      <c r="F26" s="34" t="s">
        <v>167</v>
      </c>
      <c r="G26" s="34" t="s">
        <v>30</v>
      </c>
      <c r="H26" s="34" t="s">
        <v>51</v>
      </c>
      <c r="I26" s="34"/>
      <c r="J26" s="35">
        <v>42609</v>
      </c>
      <c r="K26" s="34">
        <v>2016</v>
      </c>
      <c r="L26" s="35">
        <v>42619</v>
      </c>
      <c r="M26" s="36">
        <v>0.625</v>
      </c>
      <c r="N26" s="37" t="s">
        <v>64</v>
      </c>
      <c r="O26" s="37" t="s">
        <v>108</v>
      </c>
      <c r="P26" s="37" t="s">
        <v>34</v>
      </c>
      <c r="Q26" s="37" t="s">
        <v>35</v>
      </c>
      <c r="R26" s="38">
        <v>0</v>
      </c>
      <c r="S26" s="37" t="s">
        <v>36</v>
      </c>
      <c r="T26" s="43" t="s">
        <v>36</v>
      </c>
      <c r="U26" s="40" t="s">
        <v>37</v>
      </c>
      <c r="V26" s="37" t="s">
        <v>37</v>
      </c>
      <c r="W26" s="41" t="s">
        <v>37</v>
      </c>
      <c r="X26" s="40" t="s">
        <v>38</v>
      </c>
      <c r="Y26" s="42"/>
    </row>
    <row r="27" spans="1:25" ht="15" customHeight="1">
      <c r="A27" s="25">
        <v>26</v>
      </c>
      <c r="B27" s="34" t="s">
        <v>25</v>
      </c>
      <c r="C27" s="34" t="s">
        <v>168</v>
      </c>
      <c r="D27" s="34" t="s">
        <v>169</v>
      </c>
      <c r="E27" s="34" t="s">
        <v>28</v>
      </c>
      <c r="F27" s="34" t="s">
        <v>170</v>
      </c>
      <c r="G27" s="34" t="s">
        <v>50</v>
      </c>
      <c r="H27" s="34" t="s">
        <v>171</v>
      </c>
      <c r="I27" s="34"/>
      <c r="J27" s="35">
        <v>42640</v>
      </c>
      <c r="K27" s="34">
        <v>2016</v>
      </c>
      <c r="L27" s="35">
        <v>42650</v>
      </c>
      <c r="M27" s="36">
        <v>0.6875</v>
      </c>
      <c r="N27" s="37" t="s">
        <v>142</v>
      </c>
      <c r="O27" s="37" t="s">
        <v>172</v>
      </c>
      <c r="P27" s="37" t="s">
        <v>34</v>
      </c>
      <c r="Q27" s="37" t="s">
        <v>173</v>
      </c>
      <c r="R27" s="38">
        <v>3</v>
      </c>
      <c r="S27" s="37" t="s">
        <v>36</v>
      </c>
      <c r="T27" s="43" t="s">
        <v>36</v>
      </c>
      <c r="U27" s="40" t="s">
        <v>37</v>
      </c>
      <c r="V27" s="37" t="s">
        <v>37</v>
      </c>
      <c r="W27" s="41" t="s">
        <v>37</v>
      </c>
      <c r="X27" s="40" t="s">
        <v>38</v>
      </c>
      <c r="Y27" s="42"/>
    </row>
    <row r="28" spans="1:25" ht="45" customHeight="1">
      <c r="A28" s="25">
        <v>27</v>
      </c>
      <c r="B28" s="34" t="s">
        <v>25</v>
      </c>
      <c r="C28" s="34" t="s">
        <v>174</v>
      </c>
      <c r="D28" s="34" t="s">
        <v>175</v>
      </c>
      <c r="E28" s="34" t="s">
        <v>49</v>
      </c>
      <c r="F28" s="34" t="s">
        <v>151</v>
      </c>
      <c r="G28" s="34" t="s">
        <v>50</v>
      </c>
      <c r="H28" s="34" t="s">
        <v>107</v>
      </c>
      <c r="I28" s="34"/>
      <c r="J28" s="35">
        <v>42637</v>
      </c>
      <c r="K28" s="34">
        <v>2016</v>
      </c>
      <c r="L28" s="35">
        <v>42654</v>
      </c>
      <c r="M28" s="36">
        <v>0.30555555555555602</v>
      </c>
      <c r="N28" s="37" t="s">
        <v>176</v>
      </c>
      <c r="O28" s="37" t="s">
        <v>177</v>
      </c>
      <c r="P28" s="37" t="s">
        <v>34</v>
      </c>
      <c r="Q28" s="37" t="s">
        <v>113</v>
      </c>
      <c r="R28" s="38">
        <v>7</v>
      </c>
      <c r="S28" s="37" t="s">
        <v>36</v>
      </c>
      <c r="T28" s="43" t="s">
        <v>36</v>
      </c>
      <c r="U28" s="40" t="s">
        <v>37</v>
      </c>
      <c r="V28" s="37" t="s">
        <v>37</v>
      </c>
      <c r="W28" s="41" t="s">
        <v>37</v>
      </c>
      <c r="X28" s="40" t="s">
        <v>38</v>
      </c>
      <c r="Y28" s="42" t="s">
        <v>178</v>
      </c>
    </row>
    <row r="29" spans="1:25" ht="30" customHeight="1">
      <c r="A29" s="25">
        <v>28</v>
      </c>
      <c r="B29" s="34" t="s">
        <v>25</v>
      </c>
      <c r="C29" s="34" t="s">
        <v>179</v>
      </c>
      <c r="D29" s="34" t="s">
        <v>180</v>
      </c>
      <c r="E29" s="34" t="s">
        <v>28</v>
      </c>
      <c r="F29" s="34" t="s">
        <v>151</v>
      </c>
      <c r="G29" s="34" t="s">
        <v>41</v>
      </c>
      <c r="H29" s="34" t="s">
        <v>117</v>
      </c>
      <c r="I29" s="34"/>
      <c r="J29" s="35">
        <v>42648</v>
      </c>
      <c r="K29" s="34">
        <v>2016</v>
      </c>
      <c r="L29" s="35">
        <v>42654</v>
      </c>
      <c r="M29" s="36">
        <v>0.84722222222222199</v>
      </c>
      <c r="N29" s="37" t="s">
        <v>181</v>
      </c>
      <c r="O29" s="37" t="s">
        <v>182</v>
      </c>
      <c r="P29" s="37" t="s">
        <v>144</v>
      </c>
      <c r="Q29" s="37" t="s">
        <v>104</v>
      </c>
      <c r="R29" s="38">
        <v>3</v>
      </c>
      <c r="S29" s="37" t="s">
        <v>36</v>
      </c>
      <c r="T29" s="43" t="s">
        <v>36</v>
      </c>
      <c r="U29" s="40" t="s">
        <v>37</v>
      </c>
      <c r="V29" s="37" t="s">
        <v>37</v>
      </c>
      <c r="W29" s="41" t="s">
        <v>37</v>
      </c>
      <c r="X29" s="40" t="s">
        <v>38</v>
      </c>
      <c r="Y29" s="42"/>
    </row>
    <row r="30" spans="1:25" ht="30" customHeight="1">
      <c r="A30" s="25">
        <v>29</v>
      </c>
      <c r="B30" s="34" t="s">
        <v>25</v>
      </c>
      <c r="C30" s="34" t="s">
        <v>183</v>
      </c>
      <c r="D30" s="34" t="s">
        <v>184</v>
      </c>
      <c r="E30" s="34" t="s">
        <v>49</v>
      </c>
      <c r="F30" s="34" t="s">
        <v>185</v>
      </c>
      <c r="G30" s="34" t="s">
        <v>41</v>
      </c>
      <c r="H30" s="34" t="s">
        <v>51</v>
      </c>
      <c r="I30" s="34"/>
      <c r="J30" s="35">
        <v>42650</v>
      </c>
      <c r="K30" s="34">
        <v>2016</v>
      </c>
      <c r="L30" s="35">
        <v>42654</v>
      </c>
      <c r="M30" s="36">
        <v>0.5625</v>
      </c>
      <c r="N30" s="37" t="s">
        <v>58</v>
      </c>
      <c r="O30" s="37" t="s">
        <v>186</v>
      </c>
      <c r="P30" s="37" t="s">
        <v>34</v>
      </c>
      <c r="Q30" s="37" t="s">
        <v>113</v>
      </c>
      <c r="R30" s="38">
        <v>0</v>
      </c>
      <c r="S30" s="37" t="s">
        <v>36</v>
      </c>
      <c r="T30" s="43" t="s">
        <v>36</v>
      </c>
      <c r="U30" s="40" t="s">
        <v>37</v>
      </c>
      <c r="V30" s="37" t="s">
        <v>37</v>
      </c>
      <c r="W30" s="41" t="s">
        <v>37</v>
      </c>
      <c r="X30" s="40" t="s">
        <v>38</v>
      </c>
      <c r="Y30" s="42"/>
    </row>
    <row r="31" spans="1:25" ht="45" customHeight="1">
      <c r="A31" s="25">
        <v>30</v>
      </c>
      <c r="B31" s="34" t="s">
        <v>25</v>
      </c>
      <c r="C31" s="34" t="s">
        <v>187</v>
      </c>
      <c r="D31" s="34" t="s">
        <v>92</v>
      </c>
      <c r="E31" s="34" t="s">
        <v>49</v>
      </c>
      <c r="F31" s="34" t="s">
        <v>151</v>
      </c>
      <c r="G31" s="34" t="s">
        <v>41</v>
      </c>
      <c r="H31" s="34" t="s">
        <v>51</v>
      </c>
      <c r="I31" s="34"/>
      <c r="J31" s="35">
        <v>42653</v>
      </c>
      <c r="K31" s="34">
        <v>2016</v>
      </c>
      <c r="L31" s="35">
        <v>42660</v>
      </c>
      <c r="M31" s="36">
        <v>0.27777777777777801</v>
      </c>
      <c r="N31" s="37" t="s">
        <v>188</v>
      </c>
      <c r="O31" s="37" t="s">
        <v>189</v>
      </c>
      <c r="P31" s="37" t="s">
        <v>144</v>
      </c>
      <c r="Q31" s="37" t="s">
        <v>190</v>
      </c>
      <c r="R31" s="38">
        <v>2</v>
      </c>
      <c r="S31" s="37" t="s">
        <v>36</v>
      </c>
      <c r="T31" s="43" t="s">
        <v>36</v>
      </c>
      <c r="U31" s="40" t="s">
        <v>37</v>
      </c>
      <c r="V31" s="37" t="s">
        <v>37</v>
      </c>
      <c r="W31" s="41" t="s">
        <v>37</v>
      </c>
      <c r="X31" s="40" t="s">
        <v>38</v>
      </c>
      <c r="Y31" s="42"/>
    </row>
    <row r="32" spans="1:25" ht="45" customHeight="1">
      <c r="A32" s="25">
        <v>31</v>
      </c>
      <c r="B32" s="34" t="s">
        <v>25</v>
      </c>
      <c r="C32" s="34" t="s">
        <v>191</v>
      </c>
      <c r="D32" s="34" t="s">
        <v>192</v>
      </c>
      <c r="E32" s="34" t="s">
        <v>49</v>
      </c>
      <c r="F32" s="34" t="s">
        <v>148</v>
      </c>
      <c r="G32" s="34" t="s">
        <v>41</v>
      </c>
      <c r="H32" s="34" t="s">
        <v>193</v>
      </c>
      <c r="I32" s="34"/>
      <c r="J32" s="35">
        <v>42657</v>
      </c>
      <c r="K32" s="34">
        <v>2016</v>
      </c>
      <c r="L32" s="35">
        <v>42663</v>
      </c>
      <c r="M32" s="36">
        <v>0.41666666666666702</v>
      </c>
      <c r="N32" s="37" t="s">
        <v>58</v>
      </c>
      <c r="O32" s="37" t="s">
        <v>194</v>
      </c>
      <c r="P32" s="37" t="s">
        <v>34</v>
      </c>
      <c r="Q32" s="37" t="s">
        <v>35</v>
      </c>
      <c r="R32" s="38">
        <v>0</v>
      </c>
      <c r="S32" s="37" t="s">
        <v>36</v>
      </c>
      <c r="T32" s="43" t="s">
        <v>36</v>
      </c>
      <c r="U32" s="40" t="s">
        <v>37</v>
      </c>
      <c r="V32" s="37" t="s">
        <v>37</v>
      </c>
      <c r="W32" s="41" t="s">
        <v>37</v>
      </c>
      <c r="X32" s="40" t="s">
        <v>38</v>
      </c>
      <c r="Y32" s="42"/>
    </row>
    <row r="33" spans="1:25" ht="30" customHeight="1">
      <c r="A33" s="25">
        <v>32</v>
      </c>
      <c r="B33" s="34" t="s">
        <v>25</v>
      </c>
      <c r="C33" s="34" t="s">
        <v>195</v>
      </c>
      <c r="D33" s="34" t="s">
        <v>196</v>
      </c>
      <c r="E33" s="34" t="s">
        <v>49</v>
      </c>
      <c r="F33" s="34" t="s">
        <v>151</v>
      </c>
      <c r="G33" s="34" t="s">
        <v>41</v>
      </c>
      <c r="H33" s="34" t="s">
        <v>76</v>
      </c>
      <c r="I33" s="34"/>
      <c r="J33" s="35">
        <v>42658</v>
      </c>
      <c r="K33" s="34">
        <v>2016</v>
      </c>
      <c r="L33" s="35">
        <v>42663</v>
      </c>
      <c r="M33" s="36">
        <v>0.66666666666666696</v>
      </c>
      <c r="N33" s="37" t="s">
        <v>197</v>
      </c>
      <c r="O33" s="37" t="s">
        <v>198</v>
      </c>
      <c r="P33" s="37" t="s">
        <v>34</v>
      </c>
      <c r="Q33" s="37" t="s">
        <v>199</v>
      </c>
      <c r="R33" s="38">
        <v>0</v>
      </c>
      <c r="S33" s="37" t="s">
        <v>36</v>
      </c>
      <c r="T33" s="43" t="s">
        <v>36</v>
      </c>
      <c r="U33" s="40" t="s">
        <v>37</v>
      </c>
      <c r="V33" s="37" t="s">
        <v>37</v>
      </c>
      <c r="W33" s="41" t="s">
        <v>37</v>
      </c>
      <c r="X33" s="40" t="s">
        <v>38</v>
      </c>
      <c r="Y33" s="42"/>
    </row>
    <row r="34" spans="1:25" ht="45" customHeight="1">
      <c r="A34" s="25">
        <v>33</v>
      </c>
      <c r="B34" s="34" t="s">
        <v>25</v>
      </c>
      <c r="C34" s="34" t="s">
        <v>200</v>
      </c>
      <c r="D34" s="34" t="s">
        <v>201</v>
      </c>
      <c r="E34" s="34" t="s">
        <v>49</v>
      </c>
      <c r="F34" s="34" t="s">
        <v>151</v>
      </c>
      <c r="G34" s="34" t="s">
        <v>56</v>
      </c>
      <c r="H34" s="34" t="s">
        <v>76</v>
      </c>
      <c r="I34" s="34"/>
      <c r="J34" s="35">
        <v>42679</v>
      </c>
      <c r="K34" s="34">
        <v>2016</v>
      </c>
      <c r="L34" s="35">
        <v>42683</v>
      </c>
      <c r="M34" s="36">
        <v>0.47916666666666702</v>
      </c>
      <c r="N34" s="37" t="s">
        <v>64</v>
      </c>
      <c r="O34" s="37" t="s">
        <v>202</v>
      </c>
      <c r="P34" s="37" t="s">
        <v>34</v>
      </c>
      <c r="Q34" s="37" t="s">
        <v>35</v>
      </c>
      <c r="R34" s="38">
        <v>0</v>
      </c>
      <c r="S34" s="37" t="s">
        <v>131</v>
      </c>
      <c r="T34" s="43" t="s">
        <v>203</v>
      </c>
      <c r="U34" s="40" t="s">
        <v>204</v>
      </c>
      <c r="V34" s="37" t="s">
        <v>37</v>
      </c>
      <c r="W34" s="41" t="s">
        <v>37</v>
      </c>
      <c r="X34" s="40" t="s">
        <v>38</v>
      </c>
      <c r="Y34" s="42" t="s">
        <v>205</v>
      </c>
    </row>
    <row r="35" spans="1:25" ht="30" customHeight="1">
      <c r="A35" s="25">
        <v>34</v>
      </c>
      <c r="B35" s="34" t="s">
        <v>25</v>
      </c>
      <c r="C35" s="34" t="s">
        <v>206</v>
      </c>
      <c r="D35" s="34" t="s">
        <v>207</v>
      </c>
      <c r="E35" s="34" t="s">
        <v>49</v>
      </c>
      <c r="F35" s="34" t="s">
        <v>151</v>
      </c>
      <c r="G35" s="34" t="s">
        <v>56</v>
      </c>
      <c r="H35" s="34" t="s">
        <v>208</v>
      </c>
      <c r="I35" s="34"/>
      <c r="J35" s="35">
        <v>42696</v>
      </c>
      <c r="K35" s="34">
        <v>2016</v>
      </c>
      <c r="L35" s="35">
        <v>42703</v>
      </c>
      <c r="M35" s="36">
        <v>0.23958333333333301</v>
      </c>
      <c r="N35" s="37" t="s">
        <v>209</v>
      </c>
      <c r="O35" s="37" t="s">
        <v>186</v>
      </c>
      <c r="P35" s="37" t="s">
        <v>34</v>
      </c>
      <c r="Q35" s="37" t="s">
        <v>35</v>
      </c>
      <c r="R35" s="38">
        <v>0</v>
      </c>
      <c r="S35" s="37" t="s">
        <v>210</v>
      </c>
      <c r="T35" s="43" t="s">
        <v>211</v>
      </c>
      <c r="U35" s="40" t="s">
        <v>212</v>
      </c>
      <c r="V35" s="37" t="s">
        <v>37</v>
      </c>
      <c r="W35" s="41" t="s">
        <v>37</v>
      </c>
      <c r="X35" s="40" t="s">
        <v>38</v>
      </c>
      <c r="Y35" s="42" t="s">
        <v>213</v>
      </c>
    </row>
    <row r="36" spans="1:25" ht="30" customHeight="1">
      <c r="A36" s="25">
        <v>35</v>
      </c>
      <c r="B36" s="34" t="s">
        <v>25</v>
      </c>
      <c r="C36" s="34" t="s">
        <v>214</v>
      </c>
      <c r="D36" s="34" t="s">
        <v>215</v>
      </c>
      <c r="E36" s="34" t="s">
        <v>49</v>
      </c>
      <c r="F36" s="34" t="s">
        <v>151</v>
      </c>
      <c r="G36" s="34" t="s">
        <v>70</v>
      </c>
      <c r="H36" s="34" t="s">
        <v>63</v>
      </c>
      <c r="I36" s="34"/>
      <c r="J36" s="35">
        <v>42705</v>
      </c>
      <c r="K36" s="34">
        <v>2016</v>
      </c>
      <c r="L36" s="35">
        <v>42717</v>
      </c>
      <c r="M36" s="36">
        <v>0.44444444444444398</v>
      </c>
      <c r="N36" s="37" t="s">
        <v>64</v>
      </c>
      <c r="O36" s="37" t="s">
        <v>216</v>
      </c>
      <c r="P36" s="37" t="s">
        <v>34</v>
      </c>
      <c r="Q36" s="37" t="s">
        <v>113</v>
      </c>
      <c r="R36" s="38">
        <v>0</v>
      </c>
      <c r="S36" s="37" t="s">
        <v>36</v>
      </c>
      <c r="T36" s="43" t="s">
        <v>217</v>
      </c>
      <c r="U36" s="40" t="s">
        <v>37</v>
      </c>
      <c r="V36" s="37" t="s">
        <v>37</v>
      </c>
      <c r="W36" s="41" t="s">
        <v>37</v>
      </c>
      <c r="X36" s="40" t="s">
        <v>38</v>
      </c>
      <c r="Y36" s="42"/>
    </row>
    <row r="37" spans="1:25" ht="30" customHeight="1">
      <c r="A37" s="25">
        <v>36</v>
      </c>
      <c r="B37" s="34" t="s">
        <v>25</v>
      </c>
      <c r="C37" s="34" t="s">
        <v>218</v>
      </c>
      <c r="D37" s="34" t="s">
        <v>219</v>
      </c>
      <c r="E37" s="34" t="s">
        <v>49</v>
      </c>
      <c r="F37" s="34" t="s">
        <v>140</v>
      </c>
      <c r="G37" s="34" t="s">
        <v>70</v>
      </c>
      <c r="H37" s="34" t="s">
        <v>220</v>
      </c>
      <c r="I37" s="34"/>
      <c r="J37" s="35">
        <v>42709</v>
      </c>
      <c r="K37" s="34">
        <v>2016</v>
      </c>
      <c r="L37" s="35">
        <v>42734</v>
      </c>
      <c r="M37" s="36">
        <v>0.78472222222222199</v>
      </c>
      <c r="N37" s="37" t="s">
        <v>221</v>
      </c>
      <c r="O37" s="37" t="s">
        <v>222</v>
      </c>
      <c r="P37" s="37" t="s">
        <v>34</v>
      </c>
      <c r="Q37" s="37" t="s">
        <v>173</v>
      </c>
      <c r="R37" s="38">
        <v>1</v>
      </c>
      <c r="S37" s="37" t="s">
        <v>36</v>
      </c>
      <c r="T37" s="43" t="s">
        <v>223</v>
      </c>
      <c r="U37" s="40" t="s">
        <v>37</v>
      </c>
      <c r="V37" s="37" t="s">
        <v>37</v>
      </c>
      <c r="W37" s="41" t="s">
        <v>37</v>
      </c>
      <c r="X37" s="40" t="s">
        <v>38</v>
      </c>
      <c r="Y37" s="42"/>
    </row>
    <row r="38" spans="1:25" ht="30" customHeight="1">
      <c r="A38" s="25">
        <v>37</v>
      </c>
      <c r="B38" s="17" t="s">
        <v>25</v>
      </c>
      <c r="C38" s="17" t="s">
        <v>224</v>
      </c>
      <c r="D38" s="17" t="s">
        <v>225</v>
      </c>
      <c r="E38" s="44" t="s">
        <v>49</v>
      </c>
      <c r="F38" s="17" t="s">
        <v>151</v>
      </c>
      <c r="G38" s="17" t="s">
        <v>124</v>
      </c>
      <c r="H38" s="17" t="s">
        <v>226</v>
      </c>
      <c r="I38" s="17"/>
      <c r="J38" s="18">
        <v>42759</v>
      </c>
      <c r="K38" s="17">
        <v>2017</v>
      </c>
      <c r="L38" s="18">
        <v>42762</v>
      </c>
      <c r="M38" s="19">
        <v>0.74305555555555602</v>
      </c>
      <c r="N38" s="20" t="s">
        <v>64</v>
      </c>
      <c r="O38" s="20" t="s">
        <v>227</v>
      </c>
      <c r="P38" s="20" t="s">
        <v>34</v>
      </c>
      <c r="Q38" s="20" t="s">
        <v>113</v>
      </c>
      <c r="R38" s="21">
        <v>0</v>
      </c>
      <c r="S38" s="20" t="s">
        <v>36</v>
      </c>
      <c r="T38" s="45" t="s">
        <v>36</v>
      </c>
      <c r="U38" s="23" t="s">
        <v>37</v>
      </c>
      <c r="V38" s="20" t="s">
        <v>37</v>
      </c>
      <c r="W38" s="24" t="s">
        <v>37</v>
      </c>
      <c r="X38" s="23" t="s">
        <v>38</v>
      </c>
      <c r="Y38" s="22"/>
    </row>
    <row r="39" spans="1:25" ht="30" customHeight="1">
      <c r="A39" s="25">
        <v>38</v>
      </c>
      <c r="B39" s="17" t="s">
        <v>25</v>
      </c>
      <c r="C39" s="17" t="s">
        <v>228</v>
      </c>
      <c r="D39" s="17" t="s">
        <v>229</v>
      </c>
      <c r="E39" s="44" t="s">
        <v>28</v>
      </c>
      <c r="F39" s="17" t="s">
        <v>230</v>
      </c>
      <c r="G39" s="17" t="s">
        <v>134</v>
      </c>
      <c r="H39" s="17" t="s">
        <v>231</v>
      </c>
      <c r="I39" s="17"/>
      <c r="J39" s="18">
        <v>42808</v>
      </c>
      <c r="K39" s="17">
        <v>2017</v>
      </c>
      <c r="L39" s="18">
        <v>42810</v>
      </c>
      <c r="M39" s="19">
        <v>0.39583333333333298</v>
      </c>
      <c r="N39" s="20" t="s">
        <v>64</v>
      </c>
      <c r="O39" s="20" t="s">
        <v>232</v>
      </c>
      <c r="P39" s="20" t="s">
        <v>34</v>
      </c>
      <c r="Q39" s="20" t="s">
        <v>113</v>
      </c>
      <c r="R39" s="21">
        <v>0</v>
      </c>
      <c r="S39" s="20" t="s">
        <v>36</v>
      </c>
      <c r="T39" s="45" t="s">
        <v>36</v>
      </c>
      <c r="U39" s="23" t="s">
        <v>37</v>
      </c>
      <c r="V39" s="20" t="s">
        <v>37</v>
      </c>
      <c r="W39" s="24" t="s">
        <v>37</v>
      </c>
      <c r="X39" s="23" t="s">
        <v>38</v>
      </c>
      <c r="Y39" s="22" t="s">
        <v>233</v>
      </c>
    </row>
    <row r="40" spans="1:25" ht="30" customHeight="1">
      <c r="A40" s="25">
        <v>39</v>
      </c>
      <c r="B40" s="17" t="s">
        <v>25</v>
      </c>
      <c r="C40" s="17" t="s">
        <v>234</v>
      </c>
      <c r="D40" s="17" t="s">
        <v>235</v>
      </c>
      <c r="E40" s="44" t="s">
        <v>49</v>
      </c>
      <c r="F40" s="17" t="s">
        <v>151</v>
      </c>
      <c r="G40" s="17" t="s">
        <v>149</v>
      </c>
      <c r="H40" s="17" t="s">
        <v>117</v>
      </c>
      <c r="I40" s="17"/>
      <c r="J40" s="18">
        <v>42837</v>
      </c>
      <c r="K40" s="17">
        <v>2017</v>
      </c>
      <c r="L40" s="18">
        <v>42843</v>
      </c>
      <c r="M40" s="19">
        <v>0.28472222222222199</v>
      </c>
      <c r="N40" s="20" t="s">
        <v>58</v>
      </c>
      <c r="O40" s="20" t="s">
        <v>236</v>
      </c>
      <c r="P40" s="20" t="s">
        <v>144</v>
      </c>
      <c r="Q40" s="20" t="s">
        <v>237</v>
      </c>
      <c r="R40" s="21">
        <v>0</v>
      </c>
      <c r="S40" s="20" t="s">
        <v>36</v>
      </c>
      <c r="T40" s="45" t="s">
        <v>36</v>
      </c>
      <c r="U40" s="23" t="s">
        <v>37</v>
      </c>
      <c r="V40" s="20" t="s">
        <v>37</v>
      </c>
      <c r="W40" s="24" t="s">
        <v>37</v>
      </c>
      <c r="X40" s="23" t="s">
        <v>38</v>
      </c>
      <c r="Y40" s="22"/>
    </row>
    <row r="41" spans="1:25" ht="30" customHeight="1">
      <c r="A41" s="25">
        <v>40</v>
      </c>
      <c r="B41" s="17" t="s">
        <v>25</v>
      </c>
      <c r="C41" s="17" t="s">
        <v>238</v>
      </c>
      <c r="D41" s="17" t="s">
        <v>239</v>
      </c>
      <c r="E41" s="44" t="s">
        <v>28</v>
      </c>
      <c r="F41" s="17" t="s">
        <v>167</v>
      </c>
      <c r="G41" s="17" t="s">
        <v>149</v>
      </c>
      <c r="H41" s="17" t="s">
        <v>51</v>
      </c>
      <c r="I41" s="17"/>
      <c r="J41" s="18">
        <v>42833</v>
      </c>
      <c r="K41" s="17">
        <v>2017</v>
      </c>
      <c r="L41" s="18">
        <v>42858</v>
      </c>
      <c r="M41" s="19">
        <v>0.41666666666666702</v>
      </c>
      <c r="N41" s="20" t="s">
        <v>64</v>
      </c>
      <c r="O41" s="20" t="s">
        <v>240</v>
      </c>
      <c r="P41" s="20" t="s">
        <v>34</v>
      </c>
      <c r="Q41" s="20" t="s">
        <v>35</v>
      </c>
      <c r="R41" s="21">
        <v>0</v>
      </c>
      <c r="S41" s="20" t="s">
        <v>36</v>
      </c>
      <c r="T41" s="45" t="s">
        <v>36</v>
      </c>
      <c r="U41" s="23" t="s">
        <v>37</v>
      </c>
      <c r="V41" s="20" t="s">
        <v>37</v>
      </c>
      <c r="W41" s="24" t="s">
        <v>37</v>
      </c>
      <c r="X41" s="23" t="s">
        <v>38</v>
      </c>
      <c r="Y41" s="22"/>
    </row>
    <row r="42" spans="1:25" ht="45" customHeight="1">
      <c r="A42" s="25">
        <v>41</v>
      </c>
      <c r="B42" s="17" t="s">
        <v>25</v>
      </c>
      <c r="C42" s="17" t="s">
        <v>241</v>
      </c>
      <c r="D42" s="17" t="s">
        <v>242</v>
      </c>
      <c r="E42" s="44" t="s">
        <v>28</v>
      </c>
      <c r="F42" s="17" t="s">
        <v>243</v>
      </c>
      <c r="G42" s="17" t="s">
        <v>244</v>
      </c>
      <c r="H42" s="17" t="s">
        <v>171</v>
      </c>
      <c r="I42" s="17"/>
      <c r="J42" s="18">
        <v>42863</v>
      </c>
      <c r="K42" s="17">
        <v>2017</v>
      </c>
      <c r="L42" s="18">
        <v>42870</v>
      </c>
      <c r="M42" s="19">
        <v>0.4375</v>
      </c>
      <c r="N42" s="20" t="s">
        <v>52</v>
      </c>
      <c r="O42" s="20" t="s">
        <v>245</v>
      </c>
      <c r="P42" s="20" t="s">
        <v>34</v>
      </c>
      <c r="Q42" s="20" t="s">
        <v>246</v>
      </c>
      <c r="R42" s="21">
        <v>2</v>
      </c>
      <c r="S42" s="20" t="s">
        <v>247</v>
      </c>
      <c r="T42" s="45" t="s">
        <v>248</v>
      </c>
      <c r="U42" s="23" t="s">
        <v>37</v>
      </c>
      <c r="V42" s="20" t="s">
        <v>37</v>
      </c>
      <c r="W42" s="24" t="s">
        <v>37</v>
      </c>
      <c r="X42" s="23" t="s">
        <v>38</v>
      </c>
      <c r="Y42" s="22"/>
    </row>
    <row r="43" spans="1:25" ht="30" customHeight="1">
      <c r="A43" s="25">
        <v>42</v>
      </c>
      <c r="B43" s="17" t="s">
        <v>25</v>
      </c>
      <c r="C43" s="17" t="s">
        <v>249</v>
      </c>
      <c r="D43" s="17" t="s">
        <v>27</v>
      </c>
      <c r="E43" s="44" t="s">
        <v>28</v>
      </c>
      <c r="F43" s="17" t="s">
        <v>123</v>
      </c>
      <c r="G43" s="17" t="s">
        <v>82</v>
      </c>
      <c r="H43" s="17" t="s">
        <v>117</v>
      </c>
      <c r="I43" s="17"/>
      <c r="J43" s="18">
        <v>42896</v>
      </c>
      <c r="K43" s="17">
        <v>2017</v>
      </c>
      <c r="L43" s="18">
        <v>42907</v>
      </c>
      <c r="M43" s="19">
        <v>0.43055555555555602</v>
      </c>
      <c r="N43" s="20" t="s">
        <v>101</v>
      </c>
      <c r="O43" s="20" t="s">
        <v>250</v>
      </c>
      <c r="P43" s="20" t="s">
        <v>34</v>
      </c>
      <c r="Q43" s="20" t="s">
        <v>251</v>
      </c>
      <c r="R43" s="21">
        <v>15</v>
      </c>
      <c r="S43" s="20" t="s">
        <v>252</v>
      </c>
      <c r="T43" s="45" t="s">
        <v>253</v>
      </c>
      <c r="U43" s="23" t="s">
        <v>37</v>
      </c>
      <c r="V43" s="20" t="s">
        <v>37</v>
      </c>
      <c r="W43" s="24" t="s">
        <v>37</v>
      </c>
      <c r="X43" s="23" t="s">
        <v>38</v>
      </c>
      <c r="Y43" s="22"/>
    </row>
    <row r="44" spans="1:25" ht="45" customHeight="1">
      <c r="A44" s="25">
        <v>43</v>
      </c>
      <c r="B44" s="17" t="s">
        <v>25</v>
      </c>
      <c r="C44" s="17" t="s">
        <v>254</v>
      </c>
      <c r="D44" s="17" t="s">
        <v>255</v>
      </c>
      <c r="E44" s="44" t="s">
        <v>49</v>
      </c>
      <c r="F44" s="17" t="s">
        <v>256</v>
      </c>
      <c r="G44" s="17" t="s">
        <v>157</v>
      </c>
      <c r="H44" s="17" t="s">
        <v>257</v>
      </c>
      <c r="I44" s="17"/>
      <c r="J44" s="18">
        <v>42927</v>
      </c>
      <c r="K44" s="17">
        <v>2017</v>
      </c>
      <c r="L44" s="18">
        <v>42929</v>
      </c>
      <c r="M44" s="19">
        <v>0.3125</v>
      </c>
      <c r="N44" s="20" t="s">
        <v>64</v>
      </c>
      <c r="O44" s="20" t="s">
        <v>258</v>
      </c>
      <c r="P44" s="20" t="s">
        <v>34</v>
      </c>
      <c r="Q44" s="20" t="s">
        <v>113</v>
      </c>
      <c r="R44" s="21">
        <v>0</v>
      </c>
      <c r="S44" s="20" t="s">
        <v>36</v>
      </c>
      <c r="T44" s="45" t="s">
        <v>36</v>
      </c>
      <c r="U44" s="23" t="s">
        <v>37</v>
      </c>
      <c r="V44" s="20" t="s">
        <v>37</v>
      </c>
      <c r="W44" s="24" t="s">
        <v>37</v>
      </c>
      <c r="X44" s="23" t="s">
        <v>38</v>
      </c>
      <c r="Y44" s="22"/>
    </row>
    <row r="45" spans="1:25" ht="30" customHeight="1">
      <c r="A45" s="25">
        <v>44</v>
      </c>
      <c r="B45" s="17" t="s">
        <v>25</v>
      </c>
      <c r="C45" s="17" t="s">
        <v>259</v>
      </c>
      <c r="D45" s="17" t="s">
        <v>27</v>
      </c>
      <c r="E45" s="44" t="s">
        <v>28</v>
      </c>
      <c r="F45" s="17" t="s">
        <v>123</v>
      </c>
      <c r="G45" s="17" t="s">
        <v>30</v>
      </c>
      <c r="H45" s="17" t="s">
        <v>117</v>
      </c>
      <c r="I45" s="17"/>
      <c r="J45" s="18">
        <v>42958</v>
      </c>
      <c r="K45" s="17">
        <v>2017</v>
      </c>
      <c r="L45" s="18">
        <v>42965</v>
      </c>
      <c r="M45" s="19">
        <v>0.51388888888888895</v>
      </c>
      <c r="N45" s="20" t="s">
        <v>260</v>
      </c>
      <c r="O45" s="20" t="s">
        <v>250</v>
      </c>
      <c r="P45" s="20" t="s">
        <v>34</v>
      </c>
      <c r="Q45" s="20" t="s">
        <v>261</v>
      </c>
      <c r="R45" s="21">
        <v>1</v>
      </c>
      <c r="S45" s="20" t="s">
        <v>252</v>
      </c>
      <c r="T45" s="45" t="s">
        <v>253</v>
      </c>
      <c r="U45" s="23" t="s">
        <v>262</v>
      </c>
      <c r="V45" s="20" t="s">
        <v>37</v>
      </c>
      <c r="W45" s="24" t="s">
        <v>37</v>
      </c>
      <c r="X45" s="23" t="s">
        <v>38</v>
      </c>
      <c r="Y45" s="22" t="s">
        <v>263</v>
      </c>
    </row>
    <row r="46" spans="1:25" ht="30">
      <c r="A46" s="25">
        <v>45</v>
      </c>
      <c r="B46" s="17" t="s">
        <v>25</v>
      </c>
      <c r="C46" s="17" t="s">
        <v>264</v>
      </c>
      <c r="D46" s="17" t="s">
        <v>265</v>
      </c>
      <c r="E46" s="44" t="s">
        <v>49</v>
      </c>
      <c r="F46" s="17" t="s">
        <v>151</v>
      </c>
      <c r="G46" s="17" t="s">
        <v>50</v>
      </c>
      <c r="H46" s="17" t="s">
        <v>208</v>
      </c>
      <c r="I46" s="17"/>
      <c r="J46" s="18">
        <v>42979</v>
      </c>
      <c r="K46" s="17">
        <v>2017</v>
      </c>
      <c r="L46" s="18">
        <v>42989</v>
      </c>
      <c r="M46" s="19">
        <v>0.72916666666666696</v>
      </c>
      <c r="N46" s="20" t="s">
        <v>221</v>
      </c>
      <c r="O46" s="20" t="s">
        <v>266</v>
      </c>
      <c r="P46" s="20" t="s">
        <v>34</v>
      </c>
      <c r="Q46" s="20" t="s">
        <v>267</v>
      </c>
      <c r="R46" s="21">
        <v>60</v>
      </c>
      <c r="S46" s="20" t="s">
        <v>36</v>
      </c>
      <c r="T46" s="45" t="s">
        <v>36</v>
      </c>
      <c r="U46" s="23" t="s">
        <v>37</v>
      </c>
      <c r="V46" s="20" t="s">
        <v>37</v>
      </c>
      <c r="W46" s="24" t="s">
        <v>37</v>
      </c>
      <c r="X46" s="23" t="s">
        <v>38</v>
      </c>
      <c r="Y46" s="22"/>
    </row>
    <row r="47" spans="1:25" ht="75">
      <c r="A47" s="25">
        <v>46</v>
      </c>
      <c r="B47" s="17" t="s">
        <v>25</v>
      </c>
      <c r="C47" s="46" t="s">
        <v>268</v>
      </c>
      <c r="D47" s="46" t="s">
        <v>269</v>
      </c>
      <c r="E47" s="44" t="s">
        <v>49</v>
      </c>
      <c r="F47" s="46" t="s">
        <v>151</v>
      </c>
      <c r="G47" s="46" t="s">
        <v>50</v>
      </c>
      <c r="H47" s="46" t="s">
        <v>208</v>
      </c>
      <c r="I47" s="46"/>
      <c r="J47" s="47">
        <v>43005</v>
      </c>
      <c r="K47" s="46">
        <v>2017</v>
      </c>
      <c r="L47" s="47">
        <v>43010</v>
      </c>
      <c r="M47" s="48">
        <v>0.80208333333333304</v>
      </c>
      <c r="N47" s="49" t="s">
        <v>101</v>
      </c>
      <c r="O47" s="49" t="s">
        <v>270</v>
      </c>
      <c r="P47" s="49" t="s">
        <v>34</v>
      </c>
      <c r="Q47" s="49" t="s">
        <v>271</v>
      </c>
      <c r="R47" s="50">
        <v>0</v>
      </c>
      <c r="S47" s="49" t="s">
        <v>272</v>
      </c>
      <c r="T47" s="51" t="s">
        <v>273</v>
      </c>
      <c r="U47" s="52" t="s">
        <v>274</v>
      </c>
      <c r="V47" s="49">
        <v>43014</v>
      </c>
      <c r="W47" s="53" t="s">
        <v>275</v>
      </c>
      <c r="X47" s="52" t="s">
        <v>38</v>
      </c>
      <c r="Y47" s="54" t="s">
        <v>276</v>
      </c>
    </row>
    <row r="48" spans="1:25" ht="15">
      <c r="A48" s="25">
        <v>47</v>
      </c>
      <c r="B48" s="17" t="s">
        <v>25</v>
      </c>
      <c r="C48" s="46" t="s">
        <v>277</v>
      </c>
      <c r="D48" s="46" t="s">
        <v>155</v>
      </c>
      <c r="E48" s="44" t="s">
        <v>49</v>
      </c>
      <c r="F48" s="46" t="s">
        <v>156</v>
      </c>
      <c r="G48" s="46" t="s">
        <v>50</v>
      </c>
      <c r="H48" s="46" t="s">
        <v>51</v>
      </c>
      <c r="I48" s="46"/>
      <c r="J48" s="47">
        <v>43000</v>
      </c>
      <c r="K48" s="46">
        <v>2017</v>
      </c>
      <c r="L48" s="47">
        <v>43021</v>
      </c>
      <c r="M48" s="48">
        <v>0.42708333333333298</v>
      </c>
      <c r="N48" s="49" t="s">
        <v>64</v>
      </c>
      <c r="O48" s="49" t="s">
        <v>240</v>
      </c>
      <c r="P48" s="49" t="s">
        <v>34</v>
      </c>
      <c r="Q48" s="49" t="s">
        <v>278</v>
      </c>
      <c r="R48" s="50">
        <v>0</v>
      </c>
      <c r="S48" s="49" t="s">
        <v>36</v>
      </c>
      <c r="T48" s="51" t="s">
        <v>36</v>
      </c>
      <c r="U48" s="52" t="s">
        <v>37</v>
      </c>
      <c r="V48" s="49" t="s">
        <v>37</v>
      </c>
      <c r="W48" s="53" t="s">
        <v>37</v>
      </c>
      <c r="X48" s="52" t="s">
        <v>38</v>
      </c>
      <c r="Y48" s="54"/>
    </row>
    <row r="49" spans="1:25" ht="30" customHeight="1">
      <c r="A49" s="25">
        <v>48</v>
      </c>
      <c r="B49" s="17" t="s">
        <v>25</v>
      </c>
      <c r="C49" s="46" t="s">
        <v>279</v>
      </c>
      <c r="D49" s="46" t="s">
        <v>280</v>
      </c>
      <c r="E49" s="44" t="s">
        <v>28</v>
      </c>
      <c r="F49" s="46" t="s">
        <v>123</v>
      </c>
      <c r="G49" s="46" t="s">
        <v>41</v>
      </c>
      <c r="H49" s="17" t="s">
        <v>76</v>
      </c>
      <c r="I49" s="17"/>
      <c r="J49" s="47">
        <v>43037</v>
      </c>
      <c r="K49" s="46">
        <v>2017</v>
      </c>
      <c r="L49" s="47">
        <v>43045</v>
      </c>
      <c r="M49" s="48">
        <v>0.75</v>
      </c>
      <c r="N49" s="49" t="s">
        <v>64</v>
      </c>
      <c r="O49" s="49" t="s">
        <v>240</v>
      </c>
      <c r="P49" s="49" t="s">
        <v>34</v>
      </c>
      <c r="Q49" s="49" t="s">
        <v>113</v>
      </c>
      <c r="R49" s="50">
        <v>0</v>
      </c>
      <c r="S49" s="49" t="s">
        <v>36</v>
      </c>
      <c r="T49" s="51" t="s">
        <v>36</v>
      </c>
      <c r="U49" s="52" t="s">
        <v>37</v>
      </c>
      <c r="V49" s="49" t="s">
        <v>37</v>
      </c>
      <c r="W49" s="53" t="s">
        <v>37</v>
      </c>
      <c r="X49" s="52" t="s">
        <v>38</v>
      </c>
      <c r="Y49" s="54"/>
    </row>
    <row r="50" spans="1:25" ht="30" customHeight="1">
      <c r="A50" s="25">
        <v>49</v>
      </c>
      <c r="B50" s="17" t="s">
        <v>25</v>
      </c>
      <c r="C50" s="46" t="s">
        <v>281</v>
      </c>
      <c r="D50" s="46" t="s">
        <v>282</v>
      </c>
      <c r="E50" s="44" t="s">
        <v>49</v>
      </c>
      <c r="F50" s="46" t="s">
        <v>148</v>
      </c>
      <c r="G50" s="46" t="s">
        <v>41</v>
      </c>
      <c r="H50" s="17" t="s">
        <v>112</v>
      </c>
      <c r="I50" s="17"/>
      <c r="J50" s="47">
        <v>43039</v>
      </c>
      <c r="K50" s="46">
        <v>2017</v>
      </c>
      <c r="L50" s="47">
        <v>43045</v>
      </c>
      <c r="M50" s="48">
        <v>0.375</v>
      </c>
      <c r="N50" s="49" t="s">
        <v>283</v>
      </c>
      <c r="O50" s="49" t="s">
        <v>186</v>
      </c>
      <c r="P50" s="49" t="s">
        <v>34</v>
      </c>
      <c r="Q50" s="49" t="s">
        <v>113</v>
      </c>
      <c r="R50" s="50">
        <v>0</v>
      </c>
      <c r="S50" s="49" t="s">
        <v>36</v>
      </c>
      <c r="T50" s="51" t="s">
        <v>36</v>
      </c>
      <c r="U50" s="52" t="s">
        <v>37</v>
      </c>
      <c r="V50" s="49" t="s">
        <v>37</v>
      </c>
      <c r="W50" s="53" t="s">
        <v>37</v>
      </c>
      <c r="X50" s="52" t="s">
        <v>38</v>
      </c>
      <c r="Y50" s="54"/>
    </row>
    <row r="51" spans="1:25" ht="60" customHeight="1">
      <c r="A51" s="25">
        <v>50</v>
      </c>
      <c r="B51" s="17" t="s">
        <v>25</v>
      </c>
      <c r="C51" s="46" t="s">
        <v>284</v>
      </c>
      <c r="D51" s="46" t="s">
        <v>285</v>
      </c>
      <c r="E51" s="44" t="s">
        <v>49</v>
      </c>
      <c r="F51" s="46" t="s">
        <v>286</v>
      </c>
      <c r="G51" s="46" t="s">
        <v>56</v>
      </c>
      <c r="H51" s="46" t="s">
        <v>287</v>
      </c>
      <c r="I51" s="46"/>
      <c r="J51" s="47">
        <v>43069</v>
      </c>
      <c r="K51" s="46">
        <v>2017</v>
      </c>
      <c r="L51" s="47">
        <v>43070</v>
      </c>
      <c r="M51" s="48">
        <v>0.42361111111111099</v>
      </c>
      <c r="N51" s="49" t="s">
        <v>64</v>
      </c>
      <c r="O51" s="49" t="s">
        <v>288</v>
      </c>
      <c r="P51" s="49" t="s">
        <v>34</v>
      </c>
      <c r="Q51" s="49" t="s">
        <v>66</v>
      </c>
      <c r="R51" s="50">
        <v>6</v>
      </c>
      <c r="S51" s="49" t="s">
        <v>36</v>
      </c>
      <c r="T51" s="51" t="s">
        <v>36</v>
      </c>
      <c r="U51" s="52" t="s">
        <v>37</v>
      </c>
      <c r="V51" s="49" t="s">
        <v>37</v>
      </c>
      <c r="W51" s="53" t="s">
        <v>37</v>
      </c>
      <c r="X51" s="52" t="s">
        <v>38</v>
      </c>
      <c r="Y51" s="54" t="s">
        <v>289</v>
      </c>
    </row>
    <row r="52" spans="1:25" ht="30" customHeight="1">
      <c r="A52" s="25">
        <v>51</v>
      </c>
      <c r="B52" s="17" t="s">
        <v>25</v>
      </c>
      <c r="C52" s="55" t="s">
        <v>290</v>
      </c>
      <c r="D52" s="55" t="s">
        <v>291</v>
      </c>
      <c r="E52" s="44" t="s">
        <v>49</v>
      </c>
      <c r="F52" s="55" t="s">
        <v>148</v>
      </c>
      <c r="G52" s="55" t="s">
        <v>70</v>
      </c>
      <c r="H52" s="55" t="s">
        <v>51</v>
      </c>
      <c r="I52" s="55"/>
      <c r="J52" s="56">
        <v>43070</v>
      </c>
      <c r="K52" s="55">
        <v>2017</v>
      </c>
      <c r="L52" s="56">
        <v>43081</v>
      </c>
      <c r="M52" s="57">
        <v>0.85416666666666696</v>
      </c>
      <c r="N52" s="58" t="s">
        <v>32</v>
      </c>
      <c r="O52" s="58" t="s">
        <v>108</v>
      </c>
      <c r="P52" s="58" t="s">
        <v>34</v>
      </c>
      <c r="Q52" s="58" t="s">
        <v>113</v>
      </c>
      <c r="R52" s="59">
        <v>0</v>
      </c>
      <c r="S52" s="58" t="s">
        <v>292</v>
      </c>
      <c r="T52" s="60" t="s">
        <v>293</v>
      </c>
      <c r="U52" s="61" t="s">
        <v>294</v>
      </c>
      <c r="V52" s="58" t="s">
        <v>37</v>
      </c>
      <c r="W52" s="62" t="s">
        <v>37</v>
      </c>
      <c r="X52" s="61" t="s">
        <v>38</v>
      </c>
      <c r="Y52" s="63"/>
    </row>
    <row r="53" spans="1:25" ht="30" customHeight="1">
      <c r="A53" s="25">
        <v>52</v>
      </c>
      <c r="B53" s="17" t="s">
        <v>25</v>
      </c>
      <c r="C53" s="55" t="s">
        <v>295</v>
      </c>
      <c r="D53" s="55" t="s">
        <v>296</v>
      </c>
      <c r="E53" s="44" t="s">
        <v>49</v>
      </c>
      <c r="F53" s="55" t="s">
        <v>151</v>
      </c>
      <c r="G53" s="55" t="s">
        <v>70</v>
      </c>
      <c r="H53" s="17" t="s">
        <v>112</v>
      </c>
      <c r="I53" s="17"/>
      <c r="J53" s="56">
        <v>43079</v>
      </c>
      <c r="K53" s="55">
        <v>2017</v>
      </c>
      <c r="L53" s="56">
        <v>43083</v>
      </c>
      <c r="M53" s="57">
        <v>0.80555555555555503</v>
      </c>
      <c r="N53" s="58" t="s">
        <v>221</v>
      </c>
      <c r="O53" s="58" t="s">
        <v>297</v>
      </c>
      <c r="P53" s="58" t="s">
        <v>144</v>
      </c>
      <c r="Q53" s="58" t="s">
        <v>298</v>
      </c>
      <c r="R53" s="59">
        <v>3</v>
      </c>
      <c r="S53" s="58" t="s">
        <v>292</v>
      </c>
      <c r="T53" s="51" t="s">
        <v>36</v>
      </c>
      <c r="U53" s="61" t="s">
        <v>37</v>
      </c>
      <c r="V53" s="58" t="s">
        <v>37</v>
      </c>
      <c r="W53" s="62" t="s">
        <v>37</v>
      </c>
      <c r="X53" s="61" t="s">
        <v>38</v>
      </c>
      <c r="Y53" s="63"/>
    </row>
    <row r="54" spans="1:25" ht="65.25" customHeight="1">
      <c r="A54" s="25">
        <v>53</v>
      </c>
      <c r="B54" s="17" t="s">
        <v>25</v>
      </c>
      <c r="C54" s="55" t="s">
        <v>299</v>
      </c>
      <c r="D54" s="55" t="s">
        <v>300</v>
      </c>
      <c r="E54" s="44" t="s">
        <v>49</v>
      </c>
      <c r="F54" s="55" t="s">
        <v>81</v>
      </c>
      <c r="G54" s="55" t="s">
        <v>70</v>
      </c>
      <c r="H54" s="17" t="s">
        <v>76</v>
      </c>
      <c r="I54" s="17"/>
      <c r="J54" s="56">
        <v>43087</v>
      </c>
      <c r="K54" s="55">
        <v>2017</v>
      </c>
      <c r="L54" s="56">
        <v>43095</v>
      </c>
      <c r="M54" s="57">
        <v>0.45833333333333298</v>
      </c>
      <c r="N54" s="58" t="s">
        <v>32</v>
      </c>
      <c r="O54" s="58" t="s">
        <v>301</v>
      </c>
      <c r="P54" s="58" t="s">
        <v>34</v>
      </c>
      <c r="Q54" s="58" t="s">
        <v>113</v>
      </c>
      <c r="R54" s="59">
        <v>0</v>
      </c>
      <c r="S54" s="49" t="s">
        <v>36</v>
      </c>
      <c r="T54" s="51" t="s">
        <v>36</v>
      </c>
      <c r="U54" s="61" t="s">
        <v>37</v>
      </c>
      <c r="V54" s="58" t="s">
        <v>37</v>
      </c>
      <c r="W54" s="62" t="s">
        <v>37</v>
      </c>
      <c r="X54" s="61" t="s">
        <v>38</v>
      </c>
      <c r="Y54" s="63" t="s">
        <v>302</v>
      </c>
    </row>
    <row r="55" spans="1:25" ht="51" customHeight="1">
      <c r="A55" s="25">
        <v>54</v>
      </c>
      <c r="B55" s="64" t="s">
        <v>25</v>
      </c>
      <c r="C55" s="64" t="s">
        <v>303</v>
      </c>
      <c r="D55" s="64" t="s">
        <v>304</v>
      </c>
      <c r="E55" s="44" t="s">
        <v>49</v>
      </c>
      <c r="F55" s="64" t="s">
        <v>305</v>
      </c>
      <c r="G55" s="64" t="s">
        <v>70</v>
      </c>
      <c r="H55" s="64" t="s">
        <v>83</v>
      </c>
      <c r="I55" s="64"/>
      <c r="J55" s="65">
        <v>43090</v>
      </c>
      <c r="K55" s="64">
        <v>2017</v>
      </c>
      <c r="L55" s="65">
        <v>43097</v>
      </c>
      <c r="M55" s="66">
        <v>0.68055555555555503</v>
      </c>
      <c r="N55" s="67" t="s">
        <v>32</v>
      </c>
      <c r="O55" s="67" t="s">
        <v>306</v>
      </c>
      <c r="P55" s="67" t="s">
        <v>34</v>
      </c>
      <c r="Q55" s="67" t="s">
        <v>113</v>
      </c>
      <c r="R55" s="68">
        <v>0</v>
      </c>
      <c r="S55" s="67" t="s">
        <v>307</v>
      </c>
      <c r="T55" s="69" t="s">
        <v>308</v>
      </c>
      <c r="U55" s="70" t="s">
        <v>309</v>
      </c>
      <c r="V55" s="67">
        <v>42746</v>
      </c>
      <c r="W55" s="71" t="s">
        <v>37</v>
      </c>
      <c r="X55" s="70" t="s">
        <v>310</v>
      </c>
      <c r="Y55" s="72"/>
    </row>
    <row r="56" spans="1:25" ht="15">
      <c r="A56" s="25">
        <v>55</v>
      </c>
      <c r="B56" s="73" t="s">
        <v>311</v>
      </c>
      <c r="C56" s="73" t="s">
        <v>312</v>
      </c>
      <c r="D56" s="73" t="s">
        <v>313</v>
      </c>
      <c r="E56" s="73" t="s">
        <v>49</v>
      </c>
      <c r="F56" s="73" t="s">
        <v>314</v>
      </c>
      <c r="G56" s="73" t="s">
        <v>124</v>
      </c>
      <c r="H56" s="73" t="s">
        <v>315</v>
      </c>
      <c r="I56" s="73"/>
      <c r="J56" s="74">
        <v>43112</v>
      </c>
      <c r="K56" s="73">
        <v>2018</v>
      </c>
      <c r="L56" s="74">
        <v>43112</v>
      </c>
      <c r="M56" s="75">
        <v>0.29166666666666702</v>
      </c>
      <c r="N56" s="76" t="s">
        <v>221</v>
      </c>
      <c r="O56" s="76" t="s">
        <v>316</v>
      </c>
      <c r="P56" s="76" t="s">
        <v>144</v>
      </c>
      <c r="Q56" s="76" t="s">
        <v>317</v>
      </c>
      <c r="R56" s="77">
        <v>3</v>
      </c>
      <c r="S56" s="76" t="s">
        <v>36</v>
      </c>
      <c r="T56" s="78" t="s">
        <v>36</v>
      </c>
      <c r="U56" s="79" t="s">
        <v>37</v>
      </c>
      <c r="V56" s="76" t="s">
        <v>37</v>
      </c>
      <c r="W56" s="80" t="s">
        <v>37</v>
      </c>
      <c r="X56" s="79" t="s">
        <v>38</v>
      </c>
      <c r="Y56" s="81"/>
    </row>
    <row r="57" spans="1:25" ht="39" customHeight="1">
      <c r="A57" s="25">
        <v>56</v>
      </c>
      <c r="B57" s="73" t="s">
        <v>25</v>
      </c>
      <c r="C57" s="73" t="s">
        <v>318</v>
      </c>
      <c r="D57" s="73" t="s">
        <v>319</v>
      </c>
      <c r="E57" s="73" t="s">
        <v>49</v>
      </c>
      <c r="F57" s="73" t="s">
        <v>151</v>
      </c>
      <c r="G57" s="73" t="s">
        <v>124</v>
      </c>
      <c r="H57" s="73" t="s">
        <v>107</v>
      </c>
      <c r="I57" s="73" t="s">
        <v>320</v>
      </c>
      <c r="J57" s="74">
        <v>43110</v>
      </c>
      <c r="K57" s="73">
        <v>2018</v>
      </c>
      <c r="L57" s="74">
        <v>43118</v>
      </c>
      <c r="M57" s="75">
        <v>0.375</v>
      </c>
      <c r="N57" s="76" t="s">
        <v>32</v>
      </c>
      <c r="O57" s="76" t="s">
        <v>108</v>
      </c>
      <c r="P57" s="76" t="s">
        <v>34</v>
      </c>
      <c r="Q57" s="76" t="s">
        <v>35</v>
      </c>
      <c r="R57" s="77">
        <v>0</v>
      </c>
      <c r="S57" s="76" t="s">
        <v>36</v>
      </c>
      <c r="T57" s="78" t="s">
        <v>36</v>
      </c>
      <c r="U57" s="79" t="s">
        <v>37</v>
      </c>
      <c r="V57" s="76" t="s">
        <v>37</v>
      </c>
      <c r="W57" s="80" t="s">
        <v>37</v>
      </c>
      <c r="X57" s="79" t="s">
        <v>38</v>
      </c>
      <c r="Y57" s="81" t="s">
        <v>321</v>
      </c>
    </row>
    <row r="58" spans="1:25" ht="30" customHeight="1">
      <c r="A58" s="25">
        <v>57</v>
      </c>
      <c r="B58" s="73" t="s">
        <v>25</v>
      </c>
      <c r="C58" s="73" t="s">
        <v>322</v>
      </c>
      <c r="D58" s="73" t="s">
        <v>323</v>
      </c>
      <c r="E58" s="73" t="s">
        <v>49</v>
      </c>
      <c r="F58" s="73" t="s">
        <v>151</v>
      </c>
      <c r="G58" s="73" t="s">
        <v>124</v>
      </c>
      <c r="H58" s="73" t="s">
        <v>324</v>
      </c>
      <c r="I58" s="73" t="s">
        <v>320</v>
      </c>
      <c r="J58" s="74">
        <v>43113</v>
      </c>
      <c r="K58" s="73">
        <v>2018</v>
      </c>
      <c r="L58" s="74">
        <v>43118</v>
      </c>
      <c r="M58" s="75">
        <v>0.48958333333333298</v>
      </c>
      <c r="N58" s="76" t="s">
        <v>325</v>
      </c>
      <c r="O58" s="76" t="s">
        <v>250</v>
      </c>
      <c r="P58" s="76" t="s">
        <v>34</v>
      </c>
      <c r="Q58" s="76" t="s">
        <v>104</v>
      </c>
      <c r="R58" s="77">
        <v>0</v>
      </c>
      <c r="S58" s="76" t="s">
        <v>326</v>
      </c>
      <c r="T58" s="78" t="s">
        <v>327</v>
      </c>
      <c r="U58" s="79" t="s">
        <v>328</v>
      </c>
      <c r="V58" s="76" t="s">
        <v>37</v>
      </c>
      <c r="W58" s="80" t="s">
        <v>37</v>
      </c>
      <c r="X58" s="79" t="s">
        <v>38</v>
      </c>
      <c r="Y58" s="81"/>
    </row>
    <row r="59" spans="1:25" ht="45" customHeight="1">
      <c r="A59" s="25">
        <v>58</v>
      </c>
      <c r="B59" s="73" t="s">
        <v>25</v>
      </c>
      <c r="C59" s="73" t="s">
        <v>329</v>
      </c>
      <c r="D59" s="73" t="s">
        <v>330</v>
      </c>
      <c r="E59" s="73" t="s">
        <v>49</v>
      </c>
      <c r="F59" s="73" t="s">
        <v>151</v>
      </c>
      <c r="G59" s="73" t="s">
        <v>124</v>
      </c>
      <c r="H59" s="73" t="s">
        <v>112</v>
      </c>
      <c r="I59" s="73" t="s">
        <v>320</v>
      </c>
      <c r="J59" s="74">
        <v>43115</v>
      </c>
      <c r="K59" s="73">
        <v>2018</v>
      </c>
      <c r="L59" s="74">
        <v>43118</v>
      </c>
      <c r="M59" s="75">
        <v>0.72916666666666696</v>
      </c>
      <c r="N59" s="76" t="s">
        <v>64</v>
      </c>
      <c r="O59" s="76" t="s">
        <v>240</v>
      </c>
      <c r="P59" s="76" t="s">
        <v>34</v>
      </c>
      <c r="Q59" s="76" t="s">
        <v>113</v>
      </c>
      <c r="R59" s="77">
        <v>0</v>
      </c>
      <c r="S59" s="76" t="s">
        <v>292</v>
      </c>
      <c r="T59" s="78" t="s">
        <v>331</v>
      </c>
      <c r="U59" s="79" t="s">
        <v>332</v>
      </c>
      <c r="V59" s="76">
        <v>43128</v>
      </c>
      <c r="W59" s="80">
        <f ca="1">V59-TODAY()</f>
        <v>-3139</v>
      </c>
      <c r="X59" s="79" t="s">
        <v>38</v>
      </c>
      <c r="Y59" s="81" t="s">
        <v>333</v>
      </c>
    </row>
    <row r="60" spans="1:25" ht="45" customHeight="1">
      <c r="A60" s="25">
        <v>59</v>
      </c>
      <c r="B60" s="73" t="s">
        <v>25</v>
      </c>
      <c r="C60" s="73" t="s">
        <v>334</v>
      </c>
      <c r="D60" s="73" t="s">
        <v>122</v>
      </c>
      <c r="E60" s="73" t="s">
        <v>28</v>
      </c>
      <c r="F60" s="73" t="s">
        <v>123</v>
      </c>
      <c r="G60" s="73" t="s">
        <v>124</v>
      </c>
      <c r="H60" s="73" t="s">
        <v>335</v>
      </c>
      <c r="I60" s="73" t="s">
        <v>320</v>
      </c>
      <c r="J60" s="74">
        <v>43127</v>
      </c>
      <c r="K60" s="73">
        <v>2018</v>
      </c>
      <c r="L60" s="74">
        <v>43136</v>
      </c>
      <c r="M60" s="82">
        <v>0.66666666666666696</v>
      </c>
      <c r="N60" s="73" t="s">
        <v>336</v>
      </c>
      <c r="O60" s="73" t="s">
        <v>337</v>
      </c>
      <c r="P60" s="73" t="s">
        <v>34</v>
      </c>
      <c r="Q60" s="73" t="s">
        <v>246</v>
      </c>
      <c r="R60" s="83">
        <v>0</v>
      </c>
      <c r="S60" s="73" t="s">
        <v>292</v>
      </c>
      <c r="T60" s="73" t="s">
        <v>37</v>
      </c>
      <c r="U60" s="73" t="s">
        <v>37</v>
      </c>
      <c r="V60" s="73" t="s">
        <v>37</v>
      </c>
      <c r="W60" s="73" t="s">
        <v>37</v>
      </c>
      <c r="X60" s="73" t="s">
        <v>38</v>
      </c>
      <c r="Y60" s="73"/>
    </row>
    <row r="61" spans="1:25" ht="30" customHeight="1">
      <c r="A61" s="25">
        <v>60</v>
      </c>
      <c r="B61" s="73" t="s">
        <v>25</v>
      </c>
      <c r="C61" s="73" t="s">
        <v>338</v>
      </c>
      <c r="D61" s="73" t="s">
        <v>339</v>
      </c>
      <c r="E61" s="73" t="s">
        <v>49</v>
      </c>
      <c r="F61" s="73" t="s">
        <v>148</v>
      </c>
      <c r="G61" s="73" t="s">
        <v>75</v>
      </c>
      <c r="H61" s="73" t="s">
        <v>131</v>
      </c>
      <c r="I61" s="73" t="s">
        <v>320</v>
      </c>
      <c r="J61" s="74">
        <v>43140</v>
      </c>
      <c r="K61" s="73">
        <v>2018</v>
      </c>
      <c r="L61" s="74">
        <v>43150</v>
      </c>
      <c r="M61" s="82">
        <v>0.80208333333333304</v>
      </c>
      <c r="N61" s="73" t="s">
        <v>340</v>
      </c>
      <c r="O61" s="73" t="s">
        <v>341</v>
      </c>
      <c r="P61" s="73" t="s">
        <v>34</v>
      </c>
      <c r="Q61" s="73" t="s">
        <v>342</v>
      </c>
      <c r="R61" s="83">
        <v>0</v>
      </c>
      <c r="S61" s="73" t="s">
        <v>247</v>
      </c>
      <c r="T61" s="73" t="s">
        <v>343</v>
      </c>
      <c r="U61" s="79" t="s">
        <v>344</v>
      </c>
      <c r="V61" s="76">
        <v>43162</v>
      </c>
      <c r="W61" s="80">
        <f t="shared" ref="W61:W107" ca="1" si="0">V61-TODAY()</f>
        <v>-3105</v>
      </c>
      <c r="X61" s="79" t="s">
        <v>38</v>
      </c>
      <c r="Y61" s="73" t="s">
        <v>345</v>
      </c>
    </row>
    <row r="62" spans="1:25" ht="30" customHeight="1">
      <c r="A62" s="25">
        <v>61</v>
      </c>
      <c r="B62" s="73" t="s">
        <v>25</v>
      </c>
      <c r="C62" s="73" t="s">
        <v>346</v>
      </c>
      <c r="D62" s="73" t="s">
        <v>347</v>
      </c>
      <c r="E62" s="73" t="s">
        <v>28</v>
      </c>
      <c r="F62" s="73" t="s">
        <v>348</v>
      </c>
      <c r="G62" s="73" t="s">
        <v>134</v>
      </c>
      <c r="H62" s="73" t="s">
        <v>287</v>
      </c>
      <c r="I62" s="73" t="s">
        <v>287</v>
      </c>
      <c r="J62" s="74">
        <v>43161</v>
      </c>
      <c r="K62" s="73">
        <v>2018</v>
      </c>
      <c r="L62" s="74">
        <v>43171</v>
      </c>
      <c r="M62" s="82">
        <v>0.32638888888888901</v>
      </c>
      <c r="N62" s="73" t="s">
        <v>64</v>
      </c>
      <c r="O62" s="73" t="s">
        <v>186</v>
      </c>
      <c r="P62" s="73" t="s">
        <v>34</v>
      </c>
      <c r="Q62" s="73" t="s">
        <v>113</v>
      </c>
      <c r="R62" s="83">
        <v>1</v>
      </c>
      <c r="S62" s="73" t="s">
        <v>349</v>
      </c>
      <c r="T62" s="73" t="s">
        <v>350</v>
      </c>
      <c r="U62" s="79" t="s">
        <v>351</v>
      </c>
      <c r="V62" s="76">
        <v>43185</v>
      </c>
      <c r="W62" s="80">
        <f t="shared" ca="1" si="0"/>
        <v>-3082</v>
      </c>
      <c r="X62" s="79" t="s">
        <v>38</v>
      </c>
      <c r="Y62" s="73"/>
    </row>
    <row r="63" spans="1:25" ht="45" customHeight="1">
      <c r="A63" s="25">
        <v>62</v>
      </c>
      <c r="B63" s="73" t="s">
        <v>25</v>
      </c>
      <c r="C63" s="73" t="s">
        <v>352</v>
      </c>
      <c r="D63" s="73" t="s">
        <v>353</v>
      </c>
      <c r="E63" s="73" t="s">
        <v>49</v>
      </c>
      <c r="F63" s="73" t="s">
        <v>148</v>
      </c>
      <c r="G63" s="73" t="s">
        <v>244</v>
      </c>
      <c r="H63" s="73" t="s">
        <v>71</v>
      </c>
      <c r="I63" s="73" t="s">
        <v>320</v>
      </c>
      <c r="J63" s="74">
        <v>43227</v>
      </c>
      <c r="K63" s="73">
        <v>2018</v>
      </c>
      <c r="L63" s="74">
        <v>43231</v>
      </c>
      <c r="M63" s="82">
        <v>0.51388888888888895</v>
      </c>
      <c r="N63" s="73" t="s">
        <v>354</v>
      </c>
      <c r="O63" s="73" t="s">
        <v>108</v>
      </c>
      <c r="P63" s="73" t="s">
        <v>34</v>
      </c>
      <c r="Q63" s="73" t="s">
        <v>113</v>
      </c>
      <c r="R63" s="83">
        <v>0</v>
      </c>
      <c r="S63" s="76" t="s">
        <v>36</v>
      </c>
      <c r="T63" s="73" t="s">
        <v>355</v>
      </c>
      <c r="U63" s="79" t="s">
        <v>37</v>
      </c>
      <c r="V63" s="76" t="s">
        <v>37</v>
      </c>
      <c r="W63" s="80" t="e">
        <f t="shared" ca="1" si="0"/>
        <v>#VALUE!</v>
      </c>
      <c r="X63" s="79" t="s">
        <v>38</v>
      </c>
      <c r="Y63" s="73"/>
    </row>
    <row r="64" spans="1:25" ht="60" customHeight="1">
      <c r="A64" s="25">
        <v>63</v>
      </c>
      <c r="B64" s="73" t="s">
        <v>25</v>
      </c>
      <c r="C64" s="73" t="s">
        <v>356</v>
      </c>
      <c r="D64" s="73" t="s">
        <v>357</v>
      </c>
      <c r="E64" s="73" t="s">
        <v>49</v>
      </c>
      <c r="F64" s="73" t="s">
        <v>358</v>
      </c>
      <c r="G64" s="73" t="s">
        <v>149</v>
      </c>
      <c r="H64" s="73" t="s">
        <v>112</v>
      </c>
      <c r="I64" s="73" t="s">
        <v>320</v>
      </c>
      <c r="J64" s="74">
        <v>43202</v>
      </c>
      <c r="K64" s="73">
        <v>2018</v>
      </c>
      <c r="L64" s="74">
        <v>43210</v>
      </c>
      <c r="M64" s="82">
        <v>0.45833333333333298</v>
      </c>
      <c r="N64" s="73" t="s">
        <v>260</v>
      </c>
      <c r="O64" s="73" t="s">
        <v>359</v>
      </c>
      <c r="P64" s="73" t="s">
        <v>34</v>
      </c>
      <c r="Q64" s="73" t="s">
        <v>360</v>
      </c>
      <c r="R64" s="83">
        <v>1</v>
      </c>
      <c r="S64" s="76" t="s">
        <v>36</v>
      </c>
      <c r="T64" s="73"/>
      <c r="U64" s="79" t="s">
        <v>37</v>
      </c>
      <c r="V64" s="76" t="s">
        <v>37</v>
      </c>
      <c r="W64" s="80" t="e">
        <f t="shared" ca="1" si="0"/>
        <v>#VALUE!</v>
      </c>
      <c r="X64" s="79" t="s">
        <v>38</v>
      </c>
      <c r="Y64" s="73"/>
    </row>
    <row r="65" spans="1:25" ht="60" customHeight="1">
      <c r="A65" s="25">
        <v>64</v>
      </c>
      <c r="B65" s="73" t="s">
        <v>25</v>
      </c>
      <c r="C65" s="73" t="s">
        <v>361</v>
      </c>
      <c r="D65" s="73" t="s">
        <v>362</v>
      </c>
      <c r="E65" s="73" t="s">
        <v>49</v>
      </c>
      <c r="F65" s="73" t="s">
        <v>358</v>
      </c>
      <c r="G65" s="73" t="s">
        <v>149</v>
      </c>
      <c r="H65" s="73" t="s">
        <v>112</v>
      </c>
      <c r="I65" s="73" t="s">
        <v>320</v>
      </c>
      <c r="J65" s="74">
        <v>43202</v>
      </c>
      <c r="K65" s="73">
        <v>2018</v>
      </c>
      <c r="L65" s="74">
        <v>43210</v>
      </c>
      <c r="M65" s="82">
        <v>0.625</v>
      </c>
      <c r="N65" s="73" t="s">
        <v>260</v>
      </c>
      <c r="O65" s="73" t="s">
        <v>359</v>
      </c>
      <c r="P65" s="73" t="s">
        <v>34</v>
      </c>
      <c r="Q65" s="73" t="s">
        <v>360</v>
      </c>
      <c r="R65" s="83">
        <v>1</v>
      </c>
      <c r="S65" s="76" t="s">
        <v>36</v>
      </c>
      <c r="T65" s="73"/>
      <c r="U65" s="79" t="s">
        <v>37</v>
      </c>
      <c r="V65" s="76" t="s">
        <v>37</v>
      </c>
      <c r="W65" s="80" t="e">
        <f t="shared" ca="1" si="0"/>
        <v>#VALUE!</v>
      </c>
      <c r="X65" s="79" t="s">
        <v>38</v>
      </c>
      <c r="Y65" s="73"/>
    </row>
    <row r="66" spans="1:25" ht="60" customHeight="1">
      <c r="A66" s="25">
        <v>65</v>
      </c>
      <c r="B66" s="73" t="s">
        <v>25</v>
      </c>
      <c r="C66" s="73" t="s">
        <v>363</v>
      </c>
      <c r="D66" s="73" t="s">
        <v>364</v>
      </c>
      <c r="E66" s="73" t="s">
        <v>49</v>
      </c>
      <c r="F66" s="73" t="s">
        <v>358</v>
      </c>
      <c r="G66" s="73" t="s">
        <v>149</v>
      </c>
      <c r="H66" s="73" t="s">
        <v>112</v>
      </c>
      <c r="I66" s="73" t="s">
        <v>320</v>
      </c>
      <c r="J66" s="74">
        <v>43202</v>
      </c>
      <c r="K66" s="73">
        <v>2018</v>
      </c>
      <c r="L66" s="74">
        <v>43210</v>
      </c>
      <c r="M66" s="82">
        <v>0.6875</v>
      </c>
      <c r="N66" s="73" t="s">
        <v>260</v>
      </c>
      <c r="O66" s="73" t="s">
        <v>359</v>
      </c>
      <c r="P66" s="73" t="s">
        <v>34</v>
      </c>
      <c r="Q66" s="73" t="s">
        <v>360</v>
      </c>
      <c r="R66" s="83">
        <v>1</v>
      </c>
      <c r="S66" s="76" t="s">
        <v>36</v>
      </c>
      <c r="T66" s="73"/>
      <c r="U66" s="79" t="s">
        <v>37</v>
      </c>
      <c r="V66" s="76" t="s">
        <v>37</v>
      </c>
      <c r="W66" s="80" t="e">
        <f t="shared" ca="1" si="0"/>
        <v>#VALUE!</v>
      </c>
      <c r="X66" s="79" t="s">
        <v>38</v>
      </c>
      <c r="Y66" s="73"/>
    </row>
    <row r="67" spans="1:25" ht="60" customHeight="1">
      <c r="A67" s="25">
        <v>66</v>
      </c>
      <c r="B67" s="73" t="s">
        <v>25</v>
      </c>
      <c r="C67" s="73" t="s">
        <v>365</v>
      </c>
      <c r="D67" s="73" t="s">
        <v>366</v>
      </c>
      <c r="E67" s="73" t="s">
        <v>49</v>
      </c>
      <c r="F67" s="73" t="s">
        <v>358</v>
      </c>
      <c r="G67" s="73" t="s">
        <v>244</v>
      </c>
      <c r="H67" s="73" t="s">
        <v>112</v>
      </c>
      <c r="I67" s="73" t="s">
        <v>320</v>
      </c>
      <c r="J67" s="74">
        <v>43202</v>
      </c>
      <c r="K67" s="73">
        <v>2018</v>
      </c>
      <c r="L67" s="74">
        <v>43236</v>
      </c>
      <c r="M67" s="75">
        <v>0.625</v>
      </c>
      <c r="N67" s="73" t="s">
        <v>260</v>
      </c>
      <c r="O67" s="73" t="s">
        <v>359</v>
      </c>
      <c r="P67" s="73" t="s">
        <v>34</v>
      </c>
      <c r="Q67" s="73" t="s">
        <v>367</v>
      </c>
      <c r="R67" s="83">
        <v>1</v>
      </c>
      <c r="S67" s="76" t="s">
        <v>36</v>
      </c>
      <c r="T67" s="73"/>
      <c r="U67" s="79" t="s">
        <v>37</v>
      </c>
      <c r="V67" s="76" t="s">
        <v>37</v>
      </c>
      <c r="W67" s="80" t="e">
        <f t="shared" ca="1" si="0"/>
        <v>#VALUE!</v>
      </c>
      <c r="X67" s="79" t="s">
        <v>38</v>
      </c>
      <c r="Y67" s="73"/>
    </row>
    <row r="68" spans="1:25" ht="45" customHeight="1">
      <c r="A68" s="25">
        <v>67</v>
      </c>
      <c r="B68" s="73" t="s">
        <v>25</v>
      </c>
      <c r="C68" s="73" t="s">
        <v>368</v>
      </c>
      <c r="D68" s="73" t="s">
        <v>369</v>
      </c>
      <c r="E68" s="73" t="s">
        <v>28</v>
      </c>
      <c r="F68" s="73" t="s">
        <v>230</v>
      </c>
      <c r="G68" s="73" t="s">
        <v>82</v>
      </c>
      <c r="H68" s="73" t="s">
        <v>370</v>
      </c>
      <c r="I68" s="73" t="s">
        <v>287</v>
      </c>
      <c r="J68" s="74">
        <v>43263</v>
      </c>
      <c r="K68" s="73">
        <v>2018</v>
      </c>
      <c r="L68" s="74">
        <v>43265</v>
      </c>
      <c r="M68" s="75">
        <v>0.3125</v>
      </c>
      <c r="N68" s="76" t="s">
        <v>64</v>
      </c>
      <c r="O68" s="76" t="s">
        <v>371</v>
      </c>
      <c r="P68" s="76" t="s">
        <v>34</v>
      </c>
      <c r="Q68" s="76" t="s">
        <v>113</v>
      </c>
      <c r="R68" s="77">
        <v>0</v>
      </c>
      <c r="S68" s="76" t="s">
        <v>326</v>
      </c>
      <c r="T68" s="78" t="s">
        <v>372</v>
      </c>
      <c r="U68" s="84" t="s">
        <v>373</v>
      </c>
      <c r="V68" s="76">
        <v>43285</v>
      </c>
      <c r="W68" s="80">
        <f t="shared" ca="1" si="0"/>
        <v>-2982</v>
      </c>
      <c r="X68" s="79" t="s">
        <v>38</v>
      </c>
      <c r="Y68" s="81"/>
    </row>
    <row r="69" spans="1:25" ht="30" customHeight="1">
      <c r="A69" s="25">
        <v>68</v>
      </c>
      <c r="B69" s="73" t="s">
        <v>25</v>
      </c>
      <c r="C69" s="73" t="s">
        <v>374</v>
      </c>
      <c r="D69" s="73" t="s">
        <v>375</v>
      </c>
      <c r="E69" s="73" t="s">
        <v>49</v>
      </c>
      <c r="F69" s="73" t="s">
        <v>151</v>
      </c>
      <c r="G69" s="73" t="s">
        <v>82</v>
      </c>
      <c r="H69" s="73" t="s">
        <v>63</v>
      </c>
      <c r="I69" s="73" t="s">
        <v>320</v>
      </c>
      <c r="J69" s="74">
        <v>43270</v>
      </c>
      <c r="K69" s="73">
        <v>2018</v>
      </c>
      <c r="L69" s="74">
        <v>43276</v>
      </c>
      <c r="M69" s="75">
        <v>0.56944444444444398</v>
      </c>
      <c r="N69" s="73" t="s">
        <v>376</v>
      </c>
      <c r="O69" s="73" t="s">
        <v>377</v>
      </c>
      <c r="P69" s="73" t="s">
        <v>34</v>
      </c>
      <c r="Q69" s="73" t="s">
        <v>113</v>
      </c>
      <c r="R69" s="83">
        <v>0</v>
      </c>
      <c r="S69" s="76" t="s">
        <v>36</v>
      </c>
      <c r="T69" s="73" t="s">
        <v>378</v>
      </c>
      <c r="U69" s="79" t="s">
        <v>37</v>
      </c>
      <c r="V69" s="76" t="s">
        <v>37</v>
      </c>
      <c r="W69" s="80" t="e">
        <f t="shared" ca="1" si="0"/>
        <v>#VALUE!</v>
      </c>
      <c r="X69" s="79" t="s">
        <v>38</v>
      </c>
      <c r="Y69" s="73"/>
    </row>
    <row r="70" spans="1:25" ht="45">
      <c r="A70" s="25">
        <v>69</v>
      </c>
      <c r="B70" s="85" t="s">
        <v>379</v>
      </c>
      <c r="C70" s="85" t="s">
        <v>380</v>
      </c>
      <c r="D70" s="85" t="s">
        <v>381</v>
      </c>
      <c r="E70" s="85" t="s">
        <v>49</v>
      </c>
      <c r="F70" s="85" t="s">
        <v>382</v>
      </c>
      <c r="G70" s="85" t="s">
        <v>82</v>
      </c>
      <c r="H70" s="85" t="s">
        <v>51</v>
      </c>
      <c r="I70" s="85"/>
      <c r="J70" s="86">
        <v>43276</v>
      </c>
      <c r="K70" s="85">
        <v>2018</v>
      </c>
      <c r="L70" s="86">
        <v>43287</v>
      </c>
      <c r="M70" s="87" t="s">
        <v>383</v>
      </c>
      <c r="N70" s="85" t="s">
        <v>52</v>
      </c>
      <c r="O70" s="73" t="s">
        <v>384</v>
      </c>
      <c r="P70" s="73" t="s">
        <v>34</v>
      </c>
      <c r="Q70" s="73" t="s">
        <v>246</v>
      </c>
      <c r="R70" s="83">
        <v>0</v>
      </c>
      <c r="S70" s="76" t="s">
        <v>36</v>
      </c>
      <c r="T70" s="73" t="s">
        <v>378</v>
      </c>
      <c r="U70" s="79" t="s">
        <v>37</v>
      </c>
      <c r="V70" s="76" t="s">
        <v>37</v>
      </c>
      <c r="W70" s="80" t="e">
        <f t="shared" ca="1" si="0"/>
        <v>#VALUE!</v>
      </c>
      <c r="X70" s="79" t="s">
        <v>38</v>
      </c>
      <c r="Y70" s="73"/>
    </row>
    <row r="71" spans="1:25" ht="45" customHeight="1">
      <c r="A71" s="25">
        <v>70</v>
      </c>
      <c r="B71" s="85" t="s">
        <v>25</v>
      </c>
      <c r="C71" s="85" t="s">
        <v>385</v>
      </c>
      <c r="D71" s="85" t="s">
        <v>386</v>
      </c>
      <c r="E71" s="85" t="s">
        <v>28</v>
      </c>
      <c r="F71" s="85" t="s">
        <v>230</v>
      </c>
      <c r="G71" s="85" t="s">
        <v>157</v>
      </c>
      <c r="H71" s="85" t="s">
        <v>387</v>
      </c>
      <c r="I71" s="73" t="s">
        <v>320</v>
      </c>
      <c r="J71" s="86">
        <v>43287</v>
      </c>
      <c r="K71" s="85">
        <v>2018</v>
      </c>
      <c r="L71" s="86">
        <v>43297</v>
      </c>
      <c r="M71" s="87">
        <v>0.39583333333333298</v>
      </c>
      <c r="N71" s="85" t="s">
        <v>64</v>
      </c>
      <c r="O71" s="73" t="s">
        <v>371</v>
      </c>
      <c r="P71" s="73" t="s">
        <v>34</v>
      </c>
      <c r="Q71" s="73" t="s">
        <v>66</v>
      </c>
      <c r="R71" s="83">
        <v>0</v>
      </c>
      <c r="S71" s="76" t="s">
        <v>36</v>
      </c>
      <c r="T71" s="78" t="s">
        <v>372</v>
      </c>
      <c r="U71" s="79" t="s">
        <v>37</v>
      </c>
      <c r="V71" s="76" t="s">
        <v>37</v>
      </c>
      <c r="W71" s="80" t="e">
        <f t="shared" ca="1" si="0"/>
        <v>#VALUE!</v>
      </c>
      <c r="X71" s="79" t="s">
        <v>38</v>
      </c>
      <c r="Y71" s="73"/>
    </row>
    <row r="72" spans="1:25" ht="30" customHeight="1">
      <c r="A72" s="25">
        <v>71</v>
      </c>
      <c r="B72" s="85" t="s">
        <v>25</v>
      </c>
      <c r="C72" s="85" t="s">
        <v>388</v>
      </c>
      <c r="D72" s="85" t="s">
        <v>389</v>
      </c>
      <c r="E72" s="85" t="s">
        <v>28</v>
      </c>
      <c r="F72" s="85" t="s">
        <v>390</v>
      </c>
      <c r="G72" s="85" t="s">
        <v>157</v>
      </c>
      <c r="H72" s="73" t="s">
        <v>112</v>
      </c>
      <c r="I72" s="73" t="s">
        <v>320</v>
      </c>
      <c r="J72" s="86">
        <v>43304</v>
      </c>
      <c r="K72" s="85">
        <v>2018</v>
      </c>
      <c r="L72" s="86">
        <v>43308</v>
      </c>
      <c r="M72" s="87">
        <v>0.33333333333333298</v>
      </c>
      <c r="N72" s="73" t="s">
        <v>354</v>
      </c>
      <c r="O72" s="73" t="s">
        <v>391</v>
      </c>
      <c r="P72" s="73" t="s">
        <v>34</v>
      </c>
      <c r="Q72" s="73" t="s">
        <v>113</v>
      </c>
      <c r="R72" s="83">
        <v>0</v>
      </c>
      <c r="S72" s="76" t="s">
        <v>36</v>
      </c>
      <c r="T72" s="73" t="s">
        <v>378</v>
      </c>
      <c r="U72" s="79" t="s">
        <v>37</v>
      </c>
      <c r="V72" s="76" t="s">
        <v>37</v>
      </c>
      <c r="W72" s="80" t="e">
        <f t="shared" ca="1" si="0"/>
        <v>#VALUE!</v>
      </c>
      <c r="X72" s="79" t="s">
        <v>38</v>
      </c>
      <c r="Y72" s="73"/>
    </row>
    <row r="73" spans="1:25" ht="30" customHeight="1">
      <c r="A73" s="25">
        <v>72</v>
      </c>
      <c r="B73" s="85" t="s">
        <v>25</v>
      </c>
      <c r="C73" s="85" t="s">
        <v>392</v>
      </c>
      <c r="D73" s="85" t="s">
        <v>393</v>
      </c>
      <c r="E73" s="85" t="s">
        <v>49</v>
      </c>
      <c r="F73" s="85" t="s">
        <v>394</v>
      </c>
      <c r="G73" s="85" t="s">
        <v>157</v>
      </c>
      <c r="H73" s="85" t="s">
        <v>395</v>
      </c>
      <c r="I73" s="85" t="s">
        <v>396</v>
      </c>
      <c r="J73" s="86">
        <v>43304</v>
      </c>
      <c r="K73" s="85">
        <v>2018</v>
      </c>
      <c r="L73" s="86">
        <v>43305</v>
      </c>
      <c r="M73" s="87">
        <v>0.46875</v>
      </c>
      <c r="N73" s="85" t="s">
        <v>64</v>
      </c>
      <c r="O73" s="73" t="s">
        <v>65</v>
      </c>
      <c r="P73" s="73" t="s">
        <v>34</v>
      </c>
      <c r="Q73" s="73" t="s">
        <v>113</v>
      </c>
      <c r="R73" s="83">
        <v>1</v>
      </c>
      <c r="S73" s="76" t="s">
        <v>36</v>
      </c>
      <c r="T73" s="73" t="s">
        <v>378</v>
      </c>
      <c r="U73" s="79" t="s">
        <v>37</v>
      </c>
      <c r="V73" s="76" t="s">
        <v>37</v>
      </c>
      <c r="W73" s="80" t="e">
        <f t="shared" ca="1" si="0"/>
        <v>#VALUE!</v>
      </c>
      <c r="X73" s="79" t="s">
        <v>38</v>
      </c>
      <c r="Y73" s="73"/>
    </row>
    <row r="74" spans="1:25" ht="45" customHeight="1">
      <c r="A74" s="25">
        <v>73</v>
      </c>
      <c r="B74" s="85" t="s">
        <v>25</v>
      </c>
      <c r="C74" s="85" t="s">
        <v>397</v>
      </c>
      <c r="D74" s="85" t="s">
        <v>398</v>
      </c>
      <c r="E74" s="85" t="s">
        <v>49</v>
      </c>
      <c r="F74" s="73" t="s">
        <v>151</v>
      </c>
      <c r="G74" s="85" t="s">
        <v>30</v>
      </c>
      <c r="H74" s="85" t="s">
        <v>399</v>
      </c>
      <c r="I74" s="85" t="s">
        <v>135</v>
      </c>
      <c r="J74" s="86">
        <v>43342</v>
      </c>
      <c r="K74" s="85">
        <v>2018</v>
      </c>
      <c r="L74" s="86">
        <v>44250</v>
      </c>
      <c r="M74" s="87">
        <v>0.33333333333333298</v>
      </c>
      <c r="N74" s="85" t="s">
        <v>64</v>
      </c>
      <c r="O74" s="73" t="s">
        <v>400</v>
      </c>
      <c r="P74" s="73" t="s">
        <v>34</v>
      </c>
      <c r="Q74" s="73" t="s">
        <v>113</v>
      </c>
      <c r="R74" s="83">
        <v>0</v>
      </c>
      <c r="S74" s="76" t="s">
        <v>36</v>
      </c>
      <c r="T74" s="73" t="s">
        <v>378</v>
      </c>
      <c r="U74" s="79" t="s">
        <v>37</v>
      </c>
      <c r="V74" s="76" t="s">
        <v>37</v>
      </c>
      <c r="W74" s="80" t="e">
        <f t="shared" ca="1" si="0"/>
        <v>#VALUE!</v>
      </c>
      <c r="X74" s="79" t="s">
        <v>38</v>
      </c>
      <c r="Y74" s="73"/>
    </row>
    <row r="75" spans="1:25" ht="30" customHeight="1">
      <c r="A75" s="25">
        <v>74</v>
      </c>
      <c r="B75" s="88" t="s">
        <v>25</v>
      </c>
      <c r="C75" s="88" t="s">
        <v>401</v>
      </c>
      <c r="D75" s="88" t="s">
        <v>402</v>
      </c>
      <c r="E75" s="88" t="s">
        <v>49</v>
      </c>
      <c r="F75" s="44" t="s">
        <v>151</v>
      </c>
      <c r="G75" s="44" t="s">
        <v>50</v>
      </c>
      <c r="H75" s="44" t="s">
        <v>403</v>
      </c>
      <c r="I75" s="44" t="s">
        <v>320</v>
      </c>
      <c r="J75" s="89">
        <v>43348</v>
      </c>
      <c r="K75" s="88">
        <v>2018</v>
      </c>
      <c r="L75" s="89">
        <v>43355</v>
      </c>
      <c r="M75" s="90">
        <v>0.4375</v>
      </c>
      <c r="N75" s="44" t="s">
        <v>64</v>
      </c>
      <c r="O75" s="44" t="s">
        <v>404</v>
      </c>
      <c r="P75" s="44" t="s">
        <v>34</v>
      </c>
      <c r="Q75" s="44" t="s">
        <v>405</v>
      </c>
      <c r="R75" s="91">
        <v>14</v>
      </c>
      <c r="S75" s="92" t="s">
        <v>406</v>
      </c>
      <c r="T75" s="44" t="s">
        <v>407</v>
      </c>
      <c r="U75" s="93" t="s">
        <v>408</v>
      </c>
      <c r="V75" s="92">
        <v>43369</v>
      </c>
      <c r="W75" s="94">
        <f t="shared" ca="1" si="0"/>
        <v>-2898</v>
      </c>
      <c r="X75" s="95" t="s">
        <v>38</v>
      </c>
      <c r="Y75" s="44" t="s">
        <v>409</v>
      </c>
    </row>
    <row r="76" spans="1:25" ht="45" customHeight="1">
      <c r="A76" s="25">
        <v>75</v>
      </c>
      <c r="B76" s="85" t="s">
        <v>25</v>
      </c>
      <c r="C76" s="85" t="s">
        <v>410</v>
      </c>
      <c r="D76" s="85" t="s">
        <v>411</v>
      </c>
      <c r="E76" s="85" t="s">
        <v>49</v>
      </c>
      <c r="F76" s="73" t="s">
        <v>412</v>
      </c>
      <c r="G76" s="85" t="s">
        <v>50</v>
      </c>
      <c r="H76" s="85" t="s">
        <v>403</v>
      </c>
      <c r="I76" s="85" t="s">
        <v>320</v>
      </c>
      <c r="J76" s="86">
        <v>43349</v>
      </c>
      <c r="K76" s="85">
        <v>2018</v>
      </c>
      <c r="L76" s="86">
        <v>43354</v>
      </c>
      <c r="M76" s="87">
        <v>0.50694444444444398</v>
      </c>
      <c r="N76" s="73" t="s">
        <v>64</v>
      </c>
      <c r="O76" s="73" t="s">
        <v>413</v>
      </c>
      <c r="P76" s="73" t="s">
        <v>34</v>
      </c>
      <c r="Q76" s="73" t="s">
        <v>35</v>
      </c>
      <c r="R76" s="83">
        <v>0</v>
      </c>
      <c r="S76" s="76" t="s">
        <v>36</v>
      </c>
      <c r="T76" s="73" t="s">
        <v>414</v>
      </c>
      <c r="U76" s="79" t="s">
        <v>37</v>
      </c>
      <c r="V76" s="76" t="s">
        <v>37</v>
      </c>
      <c r="W76" s="80" t="e">
        <f t="shared" ca="1" si="0"/>
        <v>#VALUE!</v>
      </c>
      <c r="X76" s="79" t="s">
        <v>38</v>
      </c>
      <c r="Y76" s="73"/>
    </row>
    <row r="77" spans="1:25" ht="43.5" customHeight="1">
      <c r="A77" s="25">
        <v>76</v>
      </c>
      <c r="B77" s="85" t="s">
        <v>25</v>
      </c>
      <c r="C77" s="85" t="s">
        <v>415</v>
      </c>
      <c r="D77" s="85" t="s">
        <v>416</v>
      </c>
      <c r="E77" s="85" t="s">
        <v>49</v>
      </c>
      <c r="F77" s="85" t="s">
        <v>358</v>
      </c>
      <c r="G77" s="85" t="s">
        <v>41</v>
      </c>
      <c r="H77" s="85" t="s">
        <v>417</v>
      </c>
      <c r="I77" s="85" t="s">
        <v>320</v>
      </c>
      <c r="J77" s="86">
        <v>43374</v>
      </c>
      <c r="K77" s="85">
        <v>2018</v>
      </c>
      <c r="L77" s="86">
        <v>43397</v>
      </c>
      <c r="M77" s="75">
        <v>0.5625</v>
      </c>
      <c r="N77" s="85" t="s">
        <v>260</v>
      </c>
      <c r="O77" s="85" t="s">
        <v>359</v>
      </c>
      <c r="P77" s="85" t="s">
        <v>34</v>
      </c>
      <c r="Q77" s="85" t="s">
        <v>360</v>
      </c>
      <c r="R77" s="96">
        <v>8</v>
      </c>
      <c r="S77" s="76" t="s">
        <v>36</v>
      </c>
      <c r="T77" s="73"/>
      <c r="U77" s="79" t="s">
        <v>37</v>
      </c>
      <c r="V77" s="76" t="s">
        <v>37</v>
      </c>
      <c r="W77" s="80" t="e">
        <f t="shared" ca="1" si="0"/>
        <v>#VALUE!</v>
      </c>
      <c r="X77" s="79" t="s">
        <v>38</v>
      </c>
      <c r="Y77" s="73"/>
    </row>
    <row r="78" spans="1:25" ht="15">
      <c r="A78" s="25">
        <v>77</v>
      </c>
      <c r="B78" s="85" t="s">
        <v>25</v>
      </c>
      <c r="C78" s="85" t="s">
        <v>418</v>
      </c>
      <c r="D78" s="85" t="s">
        <v>419</v>
      </c>
      <c r="E78" s="85" t="s">
        <v>49</v>
      </c>
      <c r="F78" s="73" t="s">
        <v>358</v>
      </c>
      <c r="G78" s="85" t="s">
        <v>41</v>
      </c>
      <c r="H78" s="73" t="s">
        <v>112</v>
      </c>
      <c r="I78" s="85" t="s">
        <v>320</v>
      </c>
      <c r="J78" s="86">
        <v>43404</v>
      </c>
      <c r="K78" s="85">
        <v>2018</v>
      </c>
      <c r="L78" s="86">
        <v>43424</v>
      </c>
      <c r="M78" s="87">
        <v>0.5</v>
      </c>
      <c r="N78" s="73" t="s">
        <v>77</v>
      </c>
      <c r="O78" s="73" t="s">
        <v>108</v>
      </c>
      <c r="P78" s="73" t="s">
        <v>34</v>
      </c>
      <c r="Q78" s="73" t="s">
        <v>113</v>
      </c>
      <c r="R78" s="83">
        <v>0</v>
      </c>
      <c r="S78" s="76" t="s">
        <v>36</v>
      </c>
      <c r="T78" s="73" t="s">
        <v>420</v>
      </c>
      <c r="U78" s="79" t="s">
        <v>37</v>
      </c>
      <c r="V78" s="76" t="s">
        <v>37</v>
      </c>
      <c r="W78" s="80" t="e">
        <f t="shared" ca="1" si="0"/>
        <v>#VALUE!</v>
      </c>
      <c r="X78" s="79" t="s">
        <v>38</v>
      </c>
      <c r="Y78" s="73"/>
    </row>
    <row r="79" spans="1:25" ht="30">
      <c r="A79" s="25">
        <v>78</v>
      </c>
      <c r="B79" s="73" t="s">
        <v>25</v>
      </c>
      <c r="C79" s="85" t="s">
        <v>421</v>
      </c>
      <c r="D79" s="85" t="s">
        <v>48</v>
      </c>
      <c r="E79" s="73" t="s">
        <v>49</v>
      </c>
      <c r="F79" s="73" t="s">
        <v>358</v>
      </c>
      <c r="G79" s="85" t="s">
        <v>56</v>
      </c>
      <c r="H79" s="73" t="s">
        <v>403</v>
      </c>
      <c r="I79" s="85" t="s">
        <v>320</v>
      </c>
      <c r="J79" s="86">
        <v>43431</v>
      </c>
      <c r="K79" s="85">
        <v>2018</v>
      </c>
      <c r="L79" s="86">
        <v>43425</v>
      </c>
      <c r="M79" s="87">
        <v>0.41666666666666702</v>
      </c>
      <c r="N79" s="73" t="s">
        <v>64</v>
      </c>
      <c r="O79" s="73" t="s">
        <v>422</v>
      </c>
      <c r="P79" s="73" t="s">
        <v>34</v>
      </c>
      <c r="Q79" s="73" t="s">
        <v>113</v>
      </c>
      <c r="R79" s="83">
        <v>1</v>
      </c>
      <c r="S79" s="76" t="s">
        <v>36</v>
      </c>
      <c r="T79" s="73"/>
      <c r="U79" s="79" t="s">
        <v>37</v>
      </c>
      <c r="V79" s="76" t="s">
        <v>37</v>
      </c>
      <c r="W79" s="80" t="e">
        <f t="shared" ca="1" si="0"/>
        <v>#VALUE!</v>
      </c>
      <c r="X79" s="79" t="s">
        <v>38</v>
      </c>
      <c r="Y79" s="73"/>
    </row>
    <row r="80" spans="1:25" ht="30">
      <c r="A80" s="25">
        <v>79</v>
      </c>
      <c r="B80" s="73" t="s">
        <v>25</v>
      </c>
      <c r="C80" s="73" t="s">
        <v>423</v>
      </c>
      <c r="D80" s="85" t="s">
        <v>424</v>
      </c>
      <c r="E80" s="73" t="s">
        <v>28</v>
      </c>
      <c r="F80" s="73" t="s">
        <v>425</v>
      </c>
      <c r="G80" s="85" t="s">
        <v>70</v>
      </c>
      <c r="H80" s="73" t="s">
        <v>426</v>
      </c>
      <c r="I80" s="73" t="s">
        <v>427</v>
      </c>
      <c r="J80" s="86">
        <v>43432</v>
      </c>
      <c r="K80" s="85">
        <v>2018</v>
      </c>
      <c r="L80" s="86">
        <v>43439</v>
      </c>
      <c r="M80" s="87">
        <v>0.41666666666666702</v>
      </c>
      <c r="N80" s="73" t="s">
        <v>52</v>
      </c>
      <c r="O80" s="73" t="s">
        <v>428</v>
      </c>
      <c r="P80" s="73" t="s">
        <v>34</v>
      </c>
      <c r="Q80" s="73" t="s">
        <v>429</v>
      </c>
      <c r="R80" s="83">
        <v>1</v>
      </c>
      <c r="S80" s="76" t="s">
        <v>36</v>
      </c>
      <c r="T80" s="73"/>
      <c r="U80" s="79" t="s">
        <v>37</v>
      </c>
      <c r="V80" s="76" t="s">
        <v>37</v>
      </c>
      <c r="W80" s="80" t="e">
        <f t="shared" ca="1" si="0"/>
        <v>#VALUE!</v>
      </c>
      <c r="X80" s="79" t="s">
        <v>38</v>
      </c>
      <c r="Y80" s="73"/>
    </row>
    <row r="81" spans="1:25" ht="30">
      <c r="A81" s="25">
        <v>80</v>
      </c>
      <c r="B81" s="85" t="s">
        <v>25</v>
      </c>
      <c r="C81" s="85" t="s">
        <v>430</v>
      </c>
      <c r="D81" s="85" t="s">
        <v>431</v>
      </c>
      <c r="E81" s="85" t="s">
        <v>28</v>
      </c>
      <c r="F81" s="85" t="s">
        <v>230</v>
      </c>
      <c r="G81" s="85" t="s">
        <v>70</v>
      </c>
      <c r="H81" s="73" t="s">
        <v>432</v>
      </c>
      <c r="I81" s="73" t="s">
        <v>320</v>
      </c>
      <c r="J81" s="86">
        <v>43441</v>
      </c>
      <c r="K81" s="85">
        <v>2018</v>
      </c>
      <c r="L81" s="86">
        <v>43462</v>
      </c>
      <c r="M81" s="87">
        <v>0.625</v>
      </c>
      <c r="N81" s="85" t="s">
        <v>58</v>
      </c>
      <c r="O81" s="73" t="s">
        <v>433</v>
      </c>
      <c r="P81" s="73" t="s">
        <v>34</v>
      </c>
      <c r="Q81" s="73" t="s">
        <v>113</v>
      </c>
      <c r="R81" s="83">
        <v>0</v>
      </c>
      <c r="S81" s="76" t="s">
        <v>36</v>
      </c>
      <c r="T81" s="78" t="s">
        <v>372</v>
      </c>
      <c r="U81" s="79" t="s">
        <v>37</v>
      </c>
      <c r="V81" s="76" t="s">
        <v>37</v>
      </c>
      <c r="W81" s="80" t="e">
        <f t="shared" ca="1" si="0"/>
        <v>#VALUE!</v>
      </c>
      <c r="X81" s="79" t="s">
        <v>38</v>
      </c>
      <c r="Y81" s="73"/>
    </row>
    <row r="82" spans="1:25" ht="15">
      <c r="A82" s="25">
        <v>81</v>
      </c>
      <c r="B82" s="85" t="s">
        <v>25</v>
      </c>
      <c r="C82" s="85" t="s">
        <v>434</v>
      </c>
      <c r="D82" s="85" t="s">
        <v>435</v>
      </c>
      <c r="E82" s="85" t="s">
        <v>49</v>
      </c>
      <c r="F82" s="73" t="s">
        <v>348</v>
      </c>
      <c r="G82" s="85" t="s">
        <v>124</v>
      </c>
      <c r="H82" s="73" t="s">
        <v>436</v>
      </c>
      <c r="I82" s="73" t="s">
        <v>320</v>
      </c>
      <c r="J82" s="86">
        <v>43454</v>
      </c>
      <c r="K82" s="85">
        <v>2018</v>
      </c>
      <c r="L82" s="86">
        <v>43486</v>
      </c>
      <c r="M82" s="87">
        <v>0.79166666666666696</v>
      </c>
      <c r="N82" s="85" t="s">
        <v>437</v>
      </c>
      <c r="O82" s="85" t="s">
        <v>53</v>
      </c>
      <c r="P82" s="85" t="s">
        <v>144</v>
      </c>
      <c r="Q82" s="85" t="s">
        <v>438</v>
      </c>
      <c r="R82" s="96">
        <v>60</v>
      </c>
      <c r="S82" s="97" t="s">
        <v>36</v>
      </c>
      <c r="T82" s="73"/>
      <c r="U82" s="79" t="s">
        <v>37</v>
      </c>
      <c r="V82" s="76" t="s">
        <v>37</v>
      </c>
      <c r="W82" s="80" t="e">
        <f t="shared" ca="1" si="0"/>
        <v>#VALUE!</v>
      </c>
      <c r="X82" s="79" t="s">
        <v>38</v>
      </c>
      <c r="Y82" s="73"/>
    </row>
    <row r="83" spans="1:25" ht="15">
      <c r="A83" s="25">
        <v>82</v>
      </c>
      <c r="B83" s="85" t="s">
        <v>25</v>
      </c>
      <c r="C83" s="85" t="s">
        <v>439</v>
      </c>
      <c r="D83" s="85" t="s">
        <v>366</v>
      </c>
      <c r="E83" s="88" t="s">
        <v>49</v>
      </c>
      <c r="F83" s="73" t="s">
        <v>358</v>
      </c>
      <c r="G83" s="85" t="s">
        <v>124</v>
      </c>
      <c r="H83" s="73" t="s">
        <v>112</v>
      </c>
      <c r="I83" s="73" t="s">
        <v>320</v>
      </c>
      <c r="J83" s="86">
        <v>43468</v>
      </c>
      <c r="K83" s="85">
        <v>2019</v>
      </c>
      <c r="L83" s="86">
        <v>43475</v>
      </c>
      <c r="M83" s="87">
        <v>0.59375</v>
      </c>
      <c r="N83" s="85" t="s">
        <v>64</v>
      </c>
      <c r="O83" s="73" t="s">
        <v>440</v>
      </c>
      <c r="P83" s="73" t="s">
        <v>34</v>
      </c>
      <c r="Q83" s="73" t="s">
        <v>113</v>
      </c>
      <c r="R83" s="83">
        <v>0</v>
      </c>
      <c r="S83" s="76" t="s">
        <v>36</v>
      </c>
      <c r="T83" s="73"/>
      <c r="U83" s="79" t="s">
        <v>37</v>
      </c>
      <c r="V83" s="76" t="s">
        <v>37</v>
      </c>
      <c r="W83" s="80" t="e">
        <f t="shared" ca="1" si="0"/>
        <v>#VALUE!</v>
      </c>
      <c r="X83" s="79" t="s">
        <v>38</v>
      </c>
      <c r="Y83" s="73"/>
    </row>
    <row r="84" spans="1:25" ht="15">
      <c r="A84" s="25">
        <v>83</v>
      </c>
      <c r="B84" s="85" t="s">
        <v>25</v>
      </c>
      <c r="C84" s="85" t="s">
        <v>441</v>
      </c>
      <c r="D84" s="85" t="s">
        <v>442</v>
      </c>
      <c r="E84" s="88" t="s">
        <v>49</v>
      </c>
      <c r="F84" s="85" t="s">
        <v>148</v>
      </c>
      <c r="G84" s="85" t="s">
        <v>75</v>
      </c>
      <c r="H84" s="73" t="s">
        <v>76</v>
      </c>
      <c r="I84" s="73" t="s">
        <v>320</v>
      </c>
      <c r="J84" s="86">
        <v>43498</v>
      </c>
      <c r="K84" s="85">
        <v>2019</v>
      </c>
      <c r="L84" s="86">
        <v>43501</v>
      </c>
      <c r="M84" s="87">
        <v>0.77777777777777801</v>
      </c>
      <c r="N84" s="85" t="s">
        <v>354</v>
      </c>
      <c r="O84" s="73" t="s">
        <v>443</v>
      </c>
      <c r="P84" s="73" t="s">
        <v>34</v>
      </c>
      <c r="Q84" s="73" t="s">
        <v>35</v>
      </c>
      <c r="R84" s="83">
        <v>0</v>
      </c>
      <c r="S84" s="76" t="s">
        <v>36</v>
      </c>
      <c r="T84" s="73"/>
      <c r="U84" s="79" t="s">
        <v>37</v>
      </c>
      <c r="V84" s="76" t="s">
        <v>37</v>
      </c>
      <c r="W84" s="80" t="e">
        <f t="shared" ca="1" si="0"/>
        <v>#VALUE!</v>
      </c>
      <c r="X84" s="79" t="s">
        <v>38</v>
      </c>
      <c r="Y84" s="73"/>
    </row>
    <row r="85" spans="1:25" ht="15">
      <c r="A85" s="25">
        <v>84</v>
      </c>
      <c r="B85" s="85" t="s">
        <v>25</v>
      </c>
      <c r="C85" s="85" t="s">
        <v>444</v>
      </c>
      <c r="D85" s="85" t="s">
        <v>445</v>
      </c>
      <c r="E85" s="88" t="s">
        <v>28</v>
      </c>
      <c r="F85" s="73" t="s">
        <v>348</v>
      </c>
      <c r="G85" s="85" t="s">
        <v>75</v>
      </c>
      <c r="H85" s="73" t="s">
        <v>76</v>
      </c>
      <c r="I85" s="73" t="s">
        <v>320</v>
      </c>
      <c r="J85" s="86">
        <v>43498</v>
      </c>
      <c r="K85" s="85">
        <v>2019</v>
      </c>
      <c r="L85" s="86">
        <v>43501</v>
      </c>
      <c r="M85" s="87">
        <v>0.77083333333333304</v>
      </c>
      <c r="N85" s="85" t="s">
        <v>260</v>
      </c>
      <c r="O85" s="85" t="s">
        <v>53</v>
      </c>
      <c r="P85" s="85" t="s">
        <v>144</v>
      </c>
      <c r="Q85" s="85" t="s">
        <v>113</v>
      </c>
      <c r="R85" s="96">
        <v>7</v>
      </c>
      <c r="S85" s="97" t="s">
        <v>36</v>
      </c>
      <c r="T85" s="73"/>
      <c r="U85" s="79" t="s">
        <v>37</v>
      </c>
      <c r="V85" s="76" t="s">
        <v>37</v>
      </c>
      <c r="W85" s="80" t="e">
        <f t="shared" ca="1" si="0"/>
        <v>#VALUE!</v>
      </c>
      <c r="X85" s="79" t="s">
        <v>38</v>
      </c>
      <c r="Y85" s="73"/>
    </row>
    <row r="86" spans="1:25" ht="15">
      <c r="A86" s="25">
        <v>85</v>
      </c>
      <c r="B86" s="85" t="s">
        <v>25</v>
      </c>
      <c r="C86" s="85" t="s">
        <v>446</v>
      </c>
      <c r="D86" s="85" t="s">
        <v>447</v>
      </c>
      <c r="E86" s="88" t="s">
        <v>49</v>
      </c>
      <c r="F86" s="85" t="s">
        <v>148</v>
      </c>
      <c r="G86" s="85" t="s">
        <v>124</v>
      </c>
      <c r="H86" s="73" t="s">
        <v>76</v>
      </c>
      <c r="I86" s="73" t="s">
        <v>320</v>
      </c>
      <c r="J86" s="86">
        <v>43474</v>
      </c>
      <c r="K86" s="85">
        <v>2019</v>
      </c>
      <c r="L86" s="86">
        <v>43486</v>
      </c>
      <c r="M86" s="87">
        <v>0.33333333333333298</v>
      </c>
      <c r="N86" s="85" t="s">
        <v>354</v>
      </c>
      <c r="O86" s="85" t="s">
        <v>108</v>
      </c>
      <c r="P86" s="85" t="s">
        <v>34</v>
      </c>
      <c r="Q86" s="85" t="s">
        <v>35</v>
      </c>
      <c r="R86" s="96">
        <v>0</v>
      </c>
      <c r="S86" s="97" t="s">
        <v>36</v>
      </c>
      <c r="T86" s="73"/>
      <c r="U86" s="79" t="s">
        <v>37</v>
      </c>
      <c r="V86" s="76" t="s">
        <v>37</v>
      </c>
      <c r="W86" s="80" t="e">
        <f t="shared" ca="1" si="0"/>
        <v>#VALUE!</v>
      </c>
      <c r="X86" s="79" t="s">
        <v>38</v>
      </c>
      <c r="Y86" s="73"/>
    </row>
    <row r="87" spans="1:25" ht="15">
      <c r="A87" s="25">
        <v>86</v>
      </c>
      <c r="B87" s="85" t="s">
        <v>25</v>
      </c>
      <c r="C87" s="85" t="s">
        <v>448</v>
      </c>
      <c r="D87" s="85" t="s">
        <v>449</v>
      </c>
      <c r="E87" s="88" t="s">
        <v>49</v>
      </c>
      <c r="F87" s="73" t="s">
        <v>450</v>
      </c>
      <c r="G87" s="85" t="s">
        <v>75</v>
      </c>
      <c r="H87" s="73" t="s">
        <v>51</v>
      </c>
      <c r="I87" s="73" t="s">
        <v>320</v>
      </c>
      <c r="J87" s="86">
        <v>43511</v>
      </c>
      <c r="K87" s="85">
        <v>2019</v>
      </c>
      <c r="L87" s="86">
        <v>43514</v>
      </c>
      <c r="M87" s="87">
        <v>0.35416666666666702</v>
      </c>
      <c r="N87" s="85" t="s">
        <v>64</v>
      </c>
      <c r="O87" s="85" t="s">
        <v>451</v>
      </c>
      <c r="P87" s="85" t="s">
        <v>34</v>
      </c>
      <c r="Q87" s="85" t="s">
        <v>452</v>
      </c>
      <c r="R87" s="96">
        <v>0</v>
      </c>
      <c r="S87" s="97" t="s">
        <v>36</v>
      </c>
      <c r="T87" s="73"/>
      <c r="U87" s="79" t="s">
        <v>37</v>
      </c>
      <c r="V87" s="76" t="s">
        <v>37</v>
      </c>
      <c r="W87" s="80" t="e">
        <f t="shared" ca="1" si="0"/>
        <v>#VALUE!</v>
      </c>
      <c r="X87" s="79" t="s">
        <v>38</v>
      </c>
      <c r="Y87" s="73"/>
    </row>
    <row r="88" spans="1:25" ht="30">
      <c r="A88" s="25">
        <v>87</v>
      </c>
      <c r="B88" s="85" t="s">
        <v>25</v>
      </c>
      <c r="C88" s="85" t="s">
        <v>453</v>
      </c>
      <c r="D88" s="85" t="s">
        <v>454</v>
      </c>
      <c r="E88" s="88" t="s">
        <v>49</v>
      </c>
      <c r="F88" s="73" t="s">
        <v>348</v>
      </c>
      <c r="G88" s="85" t="s">
        <v>75</v>
      </c>
      <c r="H88" s="85" t="s">
        <v>455</v>
      </c>
      <c r="I88" s="85" t="s">
        <v>320</v>
      </c>
      <c r="J88" s="86">
        <v>43517</v>
      </c>
      <c r="K88" s="85">
        <v>2019</v>
      </c>
      <c r="L88" s="86">
        <v>43517</v>
      </c>
      <c r="M88" s="87">
        <v>0.5</v>
      </c>
      <c r="N88" s="85" t="s">
        <v>456</v>
      </c>
      <c r="O88" s="85" t="s">
        <v>457</v>
      </c>
      <c r="P88" s="85" t="s">
        <v>34</v>
      </c>
      <c r="Q88" s="85" t="s">
        <v>458</v>
      </c>
      <c r="R88" s="96">
        <v>10</v>
      </c>
      <c r="S88" s="97" t="s">
        <v>36</v>
      </c>
      <c r="T88" s="73"/>
      <c r="U88" s="79" t="s">
        <v>37</v>
      </c>
      <c r="V88" s="76" t="s">
        <v>37</v>
      </c>
      <c r="W88" s="80" t="e">
        <f t="shared" ca="1" si="0"/>
        <v>#VALUE!</v>
      </c>
      <c r="X88" s="79" t="s">
        <v>38</v>
      </c>
      <c r="Y88" s="73"/>
    </row>
    <row r="89" spans="1:25" ht="15">
      <c r="A89" s="25">
        <v>88</v>
      </c>
      <c r="B89" s="85" t="s">
        <v>25</v>
      </c>
      <c r="C89" s="85" t="s">
        <v>459</v>
      </c>
      <c r="D89" s="85" t="s">
        <v>460</v>
      </c>
      <c r="E89" s="88" t="s">
        <v>49</v>
      </c>
      <c r="F89" s="73" t="s">
        <v>348</v>
      </c>
      <c r="G89" s="85" t="s">
        <v>75</v>
      </c>
      <c r="H89" s="85" t="s">
        <v>436</v>
      </c>
      <c r="I89" s="85" t="s">
        <v>320</v>
      </c>
      <c r="J89" s="86">
        <v>43536</v>
      </c>
      <c r="K89" s="85">
        <v>2019</v>
      </c>
      <c r="L89" s="86">
        <v>43550</v>
      </c>
      <c r="M89" s="87">
        <v>0.88888888888888895</v>
      </c>
      <c r="N89" s="85" t="s">
        <v>260</v>
      </c>
      <c r="O89" s="85" t="s">
        <v>297</v>
      </c>
      <c r="P89" s="85" t="s">
        <v>144</v>
      </c>
      <c r="Q89" s="85" t="s">
        <v>461</v>
      </c>
      <c r="R89" s="96">
        <v>2</v>
      </c>
      <c r="S89" s="97" t="s">
        <v>36</v>
      </c>
      <c r="T89" s="73"/>
      <c r="U89" s="79" t="s">
        <v>37</v>
      </c>
      <c r="V89" s="76" t="s">
        <v>37</v>
      </c>
      <c r="W89" s="80" t="e">
        <f t="shared" ca="1" si="0"/>
        <v>#VALUE!</v>
      </c>
      <c r="X89" s="79" t="s">
        <v>38</v>
      </c>
      <c r="Y89" s="73"/>
    </row>
    <row r="90" spans="1:25" ht="15">
      <c r="A90" s="25">
        <v>89</v>
      </c>
      <c r="B90" s="85" t="s">
        <v>25</v>
      </c>
      <c r="C90" s="85" t="s">
        <v>462</v>
      </c>
      <c r="D90" s="85" t="s">
        <v>463</v>
      </c>
      <c r="E90" s="88" t="s">
        <v>49</v>
      </c>
      <c r="F90" s="73" t="s">
        <v>348</v>
      </c>
      <c r="G90" s="85" t="s">
        <v>134</v>
      </c>
      <c r="H90" s="85" t="s">
        <v>63</v>
      </c>
      <c r="I90" s="85" t="s">
        <v>320</v>
      </c>
      <c r="J90" s="86">
        <v>43544</v>
      </c>
      <c r="K90" s="85">
        <v>2019</v>
      </c>
      <c r="L90" s="86">
        <v>43545</v>
      </c>
      <c r="M90" s="87">
        <v>0.43055555555555602</v>
      </c>
      <c r="N90" s="85" t="s">
        <v>260</v>
      </c>
      <c r="O90" s="85" t="s">
        <v>464</v>
      </c>
      <c r="P90" s="85" t="s">
        <v>34</v>
      </c>
      <c r="Q90" s="85" t="s">
        <v>465</v>
      </c>
      <c r="R90" s="96">
        <v>0</v>
      </c>
      <c r="S90" s="97" t="s">
        <v>36</v>
      </c>
      <c r="T90" s="73"/>
      <c r="U90" s="79" t="s">
        <v>37</v>
      </c>
      <c r="V90" s="76" t="s">
        <v>37</v>
      </c>
      <c r="W90" s="80" t="e">
        <f t="shared" ca="1" si="0"/>
        <v>#VALUE!</v>
      </c>
      <c r="X90" s="79" t="s">
        <v>38</v>
      </c>
      <c r="Y90" s="73"/>
    </row>
    <row r="91" spans="1:25" ht="30">
      <c r="A91" s="25">
        <v>90</v>
      </c>
      <c r="B91" s="85" t="s">
        <v>25</v>
      </c>
      <c r="C91" s="85" t="s">
        <v>466</v>
      </c>
      <c r="D91" s="85" t="s">
        <v>375</v>
      </c>
      <c r="E91" s="88" t="s">
        <v>49</v>
      </c>
      <c r="F91" s="73" t="s">
        <v>348</v>
      </c>
      <c r="G91" s="85" t="s">
        <v>149</v>
      </c>
      <c r="H91" s="85" t="s">
        <v>467</v>
      </c>
      <c r="I91" s="85" t="s">
        <v>287</v>
      </c>
      <c r="J91" s="86">
        <v>43563</v>
      </c>
      <c r="K91" s="85">
        <v>2019</v>
      </c>
      <c r="L91" s="86">
        <v>43581</v>
      </c>
      <c r="M91" s="87">
        <v>0.66666666666666696</v>
      </c>
      <c r="N91" s="85" t="s">
        <v>468</v>
      </c>
      <c r="O91" s="85" t="s">
        <v>469</v>
      </c>
      <c r="P91" s="85" t="s">
        <v>34</v>
      </c>
      <c r="Q91" s="85" t="s">
        <v>470</v>
      </c>
      <c r="R91" s="96">
        <v>0</v>
      </c>
      <c r="S91" s="97" t="s">
        <v>36</v>
      </c>
      <c r="T91" s="73"/>
      <c r="U91" s="79" t="s">
        <v>37</v>
      </c>
      <c r="V91" s="76" t="s">
        <v>37</v>
      </c>
      <c r="W91" s="80" t="e">
        <f t="shared" ca="1" si="0"/>
        <v>#VALUE!</v>
      </c>
      <c r="X91" s="79" t="s">
        <v>38</v>
      </c>
      <c r="Y91" s="73"/>
    </row>
    <row r="92" spans="1:25" ht="30">
      <c r="A92" s="25">
        <v>91</v>
      </c>
      <c r="B92" s="85" t="s">
        <v>25</v>
      </c>
      <c r="C92" s="85" t="s">
        <v>471</v>
      </c>
      <c r="D92" s="85" t="s">
        <v>472</v>
      </c>
      <c r="E92" s="88" t="s">
        <v>49</v>
      </c>
      <c r="F92" s="85" t="s">
        <v>390</v>
      </c>
      <c r="G92" s="85" t="s">
        <v>149</v>
      </c>
      <c r="H92" s="73" t="s">
        <v>473</v>
      </c>
      <c r="I92" s="85" t="s">
        <v>320</v>
      </c>
      <c r="J92" s="86">
        <v>43572</v>
      </c>
      <c r="K92" s="85">
        <v>2019</v>
      </c>
      <c r="L92" s="86">
        <v>43572</v>
      </c>
      <c r="M92" s="87">
        <v>0.60416666666666696</v>
      </c>
      <c r="N92" s="85" t="s">
        <v>354</v>
      </c>
      <c r="O92" s="85" t="s">
        <v>474</v>
      </c>
      <c r="P92" s="85" t="s">
        <v>34</v>
      </c>
      <c r="Q92" s="85" t="s">
        <v>113</v>
      </c>
      <c r="R92" s="96">
        <v>0</v>
      </c>
      <c r="S92" s="97" t="s">
        <v>36</v>
      </c>
      <c r="T92" s="73" t="s">
        <v>378</v>
      </c>
      <c r="U92" s="79" t="s">
        <v>37</v>
      </c>
      <c r="V92" s="76" t="s">
        <v>37</v>
      </c>
      <c r="W92" s="80" t="e">
        <f t="shared" ca="1" si="0"/>
        <v>#VALUE!</v>
      </c>
      <c r="X92" s="79" t="s">
        <v>38</v>
      </c>
      <c r="Y92" s="73"/>
    </row>
    <row r="93" spans="1:25" ht="30">
      <c r="A93" s="25">
        <v>92</v>
      </c>
      <c r="B93" s="85" t="s">
        <v>25</v>
      </c>
      <c r="C93" s="85" t="s">
        <v>475</v>
      </c>
      <c r="D93" s="85" t="s">
        <v>476</v>
      </c>
      <c r="E93" s="88" t="s">
        <v>49</v>
      </c>
      <c r="F93" s="73" t="s">
        <v>348</v>
      </c>
      <c r="G93" s="85" t="s">
        <v>149</v>
      </c>
      <c r="H93" s="73" t="s">
        <v>473</v>
      </c>
      <c r="I93" s="85" t="s">
        <v>320</v>
      </c>
      <c r="J93" s="86">
        <v>43572</v>
      </c>
      <c r="K93" s="85">
        <v>2019</v>
      </c>
      <c r="L93" s="86">
        <v>43572</v>
      </c>
      <c r="M93" s="87">
        <v>0.60416666666666696</v>
      </c>
      <c r="N93" s="85" t="s">
        <v>354</v>
      </c>
      <c r="O93" s="85" t="s">
        <v>474</v>
      </c>
      <c r="P93" s="85" t="s">
        <v>34</v>
      </c>
      <c r="Q93" s="85" t="s">
        <v>113</v>
      </c>
      <c r="R93" s="96">
        <v>0</v>
      </c>
      <c r="S93" s="97" t="s">
        <v>36</v>
      </c>
      <c r="T93" s="73" t="s">
        <v>378</v>
      </c>
      <c r="U93" s="79" t="s">
        <v>37</v>
      </c>
      <c r="V93" s="76" t="s">
        <v>37</v>
      </c>
      <c r="W93" s="80" t="e">
        <f t="shared" ca="1" si="0"/>
        <v>#VALUE!</v>
      </c>
      <c r="X93" s="79" t="s">
        <v>38</v>
      </c>
      <c r="Y93" s="73"/>
    </row>
    <row r="94" spans="1:25" ht="15">
      <c r="A94" s="25">
        <v>93</v>
      </c>
      <c r="B94" s="85" t="s">
        <v>25</v>
      </c>
      <c r="C94" s="85" t="s">
        <v>477</v>
      </c>
      <c r="D94" s="85" t="s">
        <v>478</v>
      </c>
      <c r="E94" s="88" t="s">
        <v>49</v>
      </c>
      <c r="F94" s="73" t="s">
        <v>348</v>
      </c>
      <c r="G94" s="85" t="s">
        <v>149</v>
      </c>
      <c r="H94" s="85" t="s">
        <v>63</v>
      </c>
      <c r="I94" s="85" t="s">
        <v>320</v>
      </c>
      <c r="J94" s="86">
        <v>43570</v>
      </c>
      <c r="K94" s="85">
        <v>2019</v>
      </c>
      <c r="L94" s="86">
        <v>43571</v>
      </c>
      <c r="M94" s="87">
        <v>0.30208333333333298</v>
      </c>
      <c r="N94" s="85" t="s">
        <v>354</v>
      </c>
      <c r="O94" s="85" t="s">
        <v>474</v>
      </c>
      <c r="P94" s="85" t="s">
        <v>34</v>
      </c>
      <c r="Q94" s="85" t="s">
        <v>479</v>
      </c>
      <c r="R94" s="96">
        <v>0</v>
      </c>
      <c r="S94" s="97" t="s">
        <v>36</v>
      </c>
      <c r="T94" s="73" t="s">
        <v>378</v>
      </c>
      <c r="U94" s="79" t="s">
        <v>37</v>
      </c>
      <c r="V94" s="76" t="s">
        <v>37</v>
      </c>
      <c r="W94" s="80" t="e">
        <f t="shared" ca="1" si="0"/>
        <v>#VALUE!</v>
      </c>
      <c r="X94" s="79" t="s">
        <v>38</v>
      </c>
      <c r="Y94" s="73"/>
    </row>
    <row r="95" spans="1:25" ht="30">
      <c r="A95" s="25">
        <v>94</v>
      </c>
      <c r="B95" s="85" t="s">
        <v>25</v>
      </c>
      <c r="C95" s="85" t="s">
        <v>480</v>
      </c>
      <c r="D95" s="85" t="s">
        <v>481</v>
      </c>
      <c r="E95" s="88" t="s">
        <v>49</v>
      </c>
      <c r="F95" s="85" t="s">
        <v>81</v>
      </c>
      <c r="G95" s="85" t="s">
        <v>149</v>
      </c>
      <c r="H95" s="85" t="s">
        <v>83</v>
      </c>
      <c r="I95" s="85" t="s">
        <v>287</v>
      </c>
      <c r="J95" s="86">
        <v>43579</v>
      </c>
      <c r="K95" s="85">
        <v>2019</v>
      </c>
      <c r="L95" s="86">
        <v>43598</v>
      </c>
      <c r="M95" s="87">
        <v>0.55208333333333304</v>
      </c>
      <c r="N95" s="85" t="s">
        <v>64</v>
      </c>
      <c r="O95" s="85" t="s">
        <v>457</v>
      </c>
      <c r="P95" s="85" t="s">
        <v>34</v>
      </c>
      <c r="Q95" s="85" t="s">
        <v>482</v>
      </c>
      <c r="R95" s="96">
        <v>2</v>
      </c>
      <c r="S95" s="97" t="s">
        <v>36</v>
      </c>
      <c r="T95" s="73" t="s">
        <v>378</v>
      </c>
      <c r="U95" s="79" t="s">
        <v>37</v>
      </c>
      <c r="V95" s="76" t="s">
        <v>37</v>
      </c>
      <c r="W95" s="80" t="e">
        <f t="shared" ca="1" si="0"/>
        <v>#VALUE!</v>
      </c>
      <c r="X95" s="79" t="s">
        <v>38</v>
      </c>
      <c r="Y95" s="73"/>
    </row>
    <row r="96" spans="1:25" ht="30">
      <c r="A96" s="25">
        <v>95</v>
      </c>
      <c r="B96" s="85" t="s">
        <v>25</v>
      </c>
      <c r="C96" s="85" t="s">
        <v>483</v>
      </c>
      <c r="D96" s="85" t="s">
        <v>463</v>
      </c>
      <c r="E96" s="88" t="s">
        <v>49</v>
      </c>
      <c r="F96" s="73" t="s">
        <v>348</v>
      </c>
      <c r="G96" s="85" t="s">
        <v>149</v>
      </c>
      <c r="H96" s="85" t="s">
        <v>63</v>
      </c>
      <c r="I96" s="85" t="s">
        <v>320</v>
      </c>
      <c r="J96" s="86">
        <v>43571</v>
      </c>
      <c r="K96" s="85">
        <v>2019</v>
      </c>
      <c r="L96" s="86">
        <v>43572</v>
      </c>
      <c r="M96" s="87">
        <v>0.50694444444444398</v>
      </c>
      <c r="N96" s="85" t="s">
        <v>64</v>
      </c>
      <c r="O96" s="85" t="s">
        <v>469</v>
      </c>
      <c r="P96" s="85" t="s">
        <v>34</v>
      </c>
      <c r="Q96" s="85" t="s">
        <v>113</v>
      </c>
      <c r="R96" s="96">
        <v>0</v>
      </c>
      <c r="S96" s="97" t="s">
        <v>36</v>
      </c>
      <c r="T96" s="73"/>
      <c r="U96" s="79" t="s">
        <v>37</v>
      </c>
      <c r="V96" s="76" t="s">
        <v>37</v>
      </c>
      <c r="W96" s="80" t="e">
        <f t="shared" ca="1" si="0"/>
        <v>#VALUE!</v>
      </c>
      <c r="X96" s="79" t="s">
        <v>38</v>
      </c>
      <c r="Y96" s="73"/>
    </row>
    <row r="97" spans="1:25" ht="30">
      <c r="A97" s="25">
        <v>96</v>
      </c>
      <c r="B97" s="85" t="s">
        <v>25</v>
      </c>
      <c r="C97" s="85" t="s">
        <v>484</v>
      </c>
      <c r="D97" s="85" t="s">
        <v>411</v>
      </c>
      <c r="E97" s="88" t="s">
        <v>49</v>
      </c>
      <c r="F97" s="85" t="s">
        <v>412</v>
      </c>
      <c r="G97" s="85" t="s">
        <v>149</v>
      </c>
      <c r="H97" s="73" t="s">
        <v>485</v>
      </c>
      <c r="I97" s="73" t="s">
        <v>396</v>
      </c>
      <c r="J97" s="86">
        <v>43572</v>
      </c>
      <c r="K97" s="85">
        <v>2019</v>
      </c>
      <c r="L97" s="86">
        <v>43588</v>
      </c>
      <c r="M97" s="87">
        <v>0.375</v>
      </c>
      <c r="N97" s="85" t="s">
        <v>64</v>
      </c>
      <c r="O97" s="85" t="s">
        <v>469</v>
      </c>
      <c r="P97" s="85" t="s">
        <v>34</v>
      </c>
      <c r="Q97" s="85" t="s">
        <v>66</v>
      </c>
      <c r="R97" s="96">
        <v>0</v>
      </c>
      <c r="S97" s="97" t="s">
        <v>36</v>
      </c>
      <c r="T97" s="73"/>
      <c r="U97" s="79" t="s">
        <v>37</v>
      </c>
      <c r="V97" s="76" t="s">
        <v>37</v>
      </c>
      <c r="W97" s="80" t="e">
        <f t="shared" ca="1" si="0"/>
        <v>#VALUE!</v>
      </c>
      <c r="X97" s="79" t="s">
        <v>38</v>
      </c>
      <c r="Y97" s="73"/>
    </row>
    <row r="98" spans="1:25" ht="15">
      <c r="A98" s="25">
        <v>97</v>
      </c>
      <c r="B98" s="85" t="s">
        <v>25</v>
      </c>
      <c r="C98" s="85" t="s">
        <v>486</v>
      </c>
      <c r="D98" s="85" t="s">
        <v>419</v>
      </c>
      <c r="E98" s="85" t="s">
        <v>49</v>
      </c>
      <c r="F98" s="73" t="s">
        <v>348</v>
      </c>
      <c r="G98" s="85" t="s">
        <v>75</v>
      </c>
      <c r="H98" s="85" t="s">
        <v>487</v>
      </c>
      <c r="I98" s="85" t="s">
        <v>144</v>
      </c>
      <c r="J98" s="86">
        <v>43626</v>
      </c>
      <c r="K98" s="85">
        <v>2019</v>
      </c>
      <c r="L98" s="86">
        <v>43551</v>
      </c>
      <c r="M98" s="87">
        <v>0.28472222222222199</v>
      </c>
      <c r="N98" s="85" t="s">
        <v>437</v>
      </c>
      <c r="O98" s="85" t="s">
        <v>488</v>
      </c>
      <c r="P98" s="85" t="s">
        <v>144</v>
      </c>
      <c r="Q98" s="85" t="s">
        <v>489</v>
      </c>
      <c r="R98" s="96">
        <v>7</v>
      </c>
      <c r="S98" s="97" t="s">
        <v>36</v>
      </c>
      <c r="T98" s="73"/>
      <c r="U98" s="79" t="s">
        <v>37</v>
      </c>
      <c r="V98" s="76" t="s">
        <v>37</v>
      </c>
      <c r="W98" s="80" t="e">
        <f t="shared" ca="1" si="0"/>
        <v>#VALUE!</v>
      </c>
      <c r="X98" s="79" t="s">
        <v>38</v>
      </c>
      <c r="Y98" s="73"/>
    </row>
    <row r="99" spans="1:25" ht="75">
      <c r="A99" s="25">
        <v>98</v>
      </c>
      <c r="B99" s="85" t="s">
        <v>25</v>
      </c>
      <c r="C99" s="85" t="s">
        <v>490</v>
      </c>
      <c r="D99" s="85" t="s">
        <v>491</v>
      </c>
      <c r="E99" s="88" t="s">
        <v>28</v>
      </c>
      <c r="F99" s="85" t="s">
        <v>492</v>
      </c>
      <c r="G99" s="85" t="s">
        <v>157</v>
      </c>
      <c r="H99" s="85" t="s">
        <v>493</v>
      </c>
      <c r="I99" s="85" t="s">
        <v>320</v>
      </c>
      <c r="J99" s="86">
        <v>43647</v>
      </c>
      <c r="K99" s="85">
        <v>2019</v>
      </c>
      <c r="L99" s="86">
        <v>43650</v>
      </c>
      <c r="M99" s="85">
        <v>0.34722222222222199</v>
      </c>
      <c r="N99" s="85" t="s">
        <v>52</v>
      </c>
      <c r="O99" s="85" t="s">
        <v>494</v>
      </c>
      <c r="P99" s="85" t="s">
        <v>34</v>
      </c>
      <c r="Q99" s="85" t="s">
        <v>495</v>
      </c>
      <c r="R99" s="85">
        <v>7</v>
      </c>
      <c r="S99" s="85" t="s">
        <v>496</v>
      </c>
      <c r="T99" s="85" t="s">
        <v>497</v>
      </c>
      <c r="U99" s="85" t="s">
        <v>498</v>
      </c>
      <c r="V99" s="85" t="s">
        <v>37</v>
      </c>
      <c r="W99" s="85" t="e">
        <f t="shared" ca="1" si="0"/>
        <v>#VALUE!</v>
      </c>
      <c r="X99" s="85" t="s">
        <v>38</v>
      </c>
      <c r="Y99" s="85"/>
    </row>
    <row r="100" spans="1:25" ht="30">
      <c r="A100" s="25">
        <v>99</v>
      </c>
      <c r="B100" s="85" t="s">
        <v>25</v>
      </c>
      <c r="C100" s="85" t="s">
        <v>499</v>
      </c>
      <c r="D100" s="85" t="s">
        <v>500</v>
      </c>
      <c r="E100" s="88" t="s">
        <v>49</v>
      </c>
      <c r="F100" s="73" t="s">
        <v>348</v>
      </c>
      <c r="G100" s="85" t="s">
        <v>82</v>
      </c>
      <c r="H100" s="73" t="s">
        <v>112</v>
      </c>
      <c r="I100" s="85" t="s">
        <v>320</v>
      </c>
      <c r="J100" s="86">
        <v>43641</v>
      </c>
      <c r="K100" s="85">
        <v>2019</v>
      </c>
      <c r="L100" s="86">
        <v>43642</v>
      </c>
      <c r="M100" s="87">
        <v>0.53472222222222199</v>
      </c>
      <c r="N100" s="85" t="s">
        <v>501</v>
      </c>
      <c r="O100" s="85" t="s">
        <v>502</v>
      </c>
      <c r="P100" s="85" t="s">
        <v>34</v>
      </c>
      <c r="Q100" s="85" t="s">
        <v>113</v>
      </c>
      <c r="R100" s="96">
        <v>0</v>
      </c>
      <c r="S100" s="97" t="s">
        <v>36</v>
      </c>
      <c r="T100" s="73"/>
      <c r="U100" s="79" t="s">
        <v>37</v>
      </c>
      <c r="V100" s="76" t="s">
        <v>37</v>
      </c>
      <c r="W100" s="80" t="e">
        <f t="shared" ca="1" si="0"/>
        <v>#VALUE!</v>
      </c>
      <c r="X100" s="79" t="s">
        <v>38</v>
      </c>
      <c r="Y100" s="73"/>
    </row>
    <row r="101" spans="1:25" ht="12" customHeight="1">
      <c r="A101" s="25">
        <v>100</v>
      </c>
      <c r="B101" s="85" t="s">
        <v>311</v>
      </c>
      <c r="C101" s="85" t="s">
        <v>503</v>
      </c>
      <c r="D101" s="85" t="s">
        <v>504</v>
      </c>
      <c r="E101" s="88" t="s">
        <v>28</v>
      </c>
      <c r="F101" s="73" t="s">
        <v>505</v>
      </c>
      <c r="G101" s="85" t="s">
        <v>157</v>
      </c>
      <c r="H101" s="85" t="s">
        <v>315</v>
      </c>
      <c r="I101" s="85"/>
      <c r="J101" s="86">
        <v>43648</v>
      </c>
      <c r="K101" s="85">
        <v>2019</v>
      </c>
      <c r="L101" s="86">
        <v>43648</v>
      </c>
      <c r="M101" s="87">
        <v>0.72916666666666696</v>
      </c>
      <c r="N101" s="85" t="s">
        <v>64</v>
      </c>
      <c r="O101" s="85" t="s">
        <v>240</v>
      </c>
      <c r="P101" s="85" t="s">
        <v>34</v>
      </c>
      <c r="Q101" s="85" t="s">
        <v>66</v>
      </c>
      <c r="R101" s="96">
        <v>0</v>
      </c>
      <c r="S101" s="97" t="s">
        <v>36</v>
      </c>
      <c r="T101" s="73"/>
      <c r="U101" s="79" t="s">
        <v>37</v>
      </c>
      <c r="V101" s="76" t="s">
        <v>37</v>
      </c>
      <c r="W101" s="80" t="e">
        <f t="shared" ca="1" si="0"/>
        <v>#VALUE!</v>
      </c>
      <c r="X101" s="79" t="s">
        <v>38</v>
      </c>
      <c r="Y101" s="73"/>
    </row>
    <row r="102" spans="1:25" ht="15">
      <c r="A102" s="25">
        <v>101</v>
      </c>
      <c r="B102" s="85" t="s">
        <v>25</v>
      </c>
      <c r="C102" s="85" t="s">
        <v>506</v>
      </c>
      <c r="D102" s="85" t="s">
        <v>507</v>
      </c>
      <c r="E102" s="88" t="s">
        <v>49</v>
      </c>
      <c r="F102" s="73" t="s">
        <v>348</v>
      </c>
      <c r="G102" s="85" t="s">
        <v>82</v>
      </c>
      <c r="H102" s="73" t="s">
        <v>76</v>
      </c>
      <c r="I102" s="85" t="s">
        <v>320</v>
      </c>
      <c r="J102" s="86">
        <v>43618</v>
      </c>
      <c r="K102" s="85">
        <v>2019</v>
      </c>
      <c r="L102" s="86">
        <v>43619</v>
      </c>
      <c r="M102" s="87">
        <v>0.47916666666666702</v>
      </c>
      <c r="N102" s="85" t="s">
        <v>64</v>
      </c>
      <c r="O102" s="85" t="s">
        <v>508</v>
      </c>
      <c r="P102" s="85" t="s">
        <v>34</v>
      </c>
      <c r="Q102" s="85" t="s">
        <v>113</v>
      </c>
      <c r="R102" s="96">
        <v>0</v>
      </c>
      <c r="S102" s="97" t="s">
        <v>36</v>
      </c>
      <c r="T102" s="73"/>
      <c r="U102" s="79" t="s">
        <v>37</v>
      </c>
      <c r="V102" s="76" t="s">
        <v>37</v>
      </c>
      <c r="W102" s="80" t="e">
        <f t="shared" ca="1" si="0"/>
        <v>#VALUE!</v>
      </c>
      <c r="X102" s="79" t="s">
        <v>38</v>
      </c>
      <c r="Y102" s="73"/>
    </row>
    <row r="103" spans="1:25" ht="30">
      <c r="A103" s="25">
        <v>102</v>
      </c>
      <c r="B103" s="85" t="s">
        <v>25</v>
      </c>
      <c r="C103" s="85" t="s">
        <v>509</v>
      </c>
      <c r="D103" s="85" t="s">
        <v>510</v>
      </c>
      <c r="E103" s="88" t="s">
        <v>49</v>
      </c>
      <c r="F103" s="73" t="s">
        <v>348</v>
      </c>
      <c r="G103" s="85" t="s">
        <v>82</v>
      </c>
      <c r="H103" s="85" t="s">
        <v>511</v>
      </c>
      <c r="I103" s="85" t="s">
        <v>320</v>
      </c>
      <c r="J103" s="86">
        <v>43626</v>
      </c>
      <c r="K103" s="85">
        <v>2019</v>
      </c>
      <c r="L103" s="86">
        <v>43630</v>
      </c>
      <c r="M103" s="87">
        <v>0.42361111111111099</v>
      </c>
      <c r="N103" s="85" t="s">
        <v>501</v>
      </c>
      <c r="O103" s="85" t="s">
        <v>502</v>
      </c>
      <c r="P103" s="85" t="s">
        <v>34</v>
      </c>
      <c r="Q103" s="85" t="s">
        <v>113</v>
      </c>
      <c r="R103" s="96">
        <v>0</v>
      </c>
      <c r="S103" s="97" t="s">
        <v>36</v>
      </c>
      <c r="T103" s="73"/>
      <c r="U103" s="79" t="s">
        <v>37</v>
      </c>
      <c r="V103" s="76" t="s">
        <v>37</v>
      </c>
      <c r="W103" s="80" t="e">
        <f t="shared" ca="1" si="0"/>
        <v>#VALUE!</v>
      </c>
      <c r="X103" s="79" t="s">
        <v>38</v>
      </c>
      <c r="Y103" s="73"/>
    </row>
    <row r="104" spans="1:25" ht="15">
      <c r="A104" s="25">
        <v>103</v>
      </c>
      <c r="B104" s="85" t="s">
        <v>25</v>
      </c>
      <c r="C104" s="85" t="s">
        <v>512</v>
      </c>
      <c r="D104" s="85" t="s">
        <v>513</v>
      </c>
      <c r="E104" s="88" t="s">
        <v>49</v>
      </c>
      <c r="F104" s="73" t="s">
        <v>514</v>
      </c>
      <c r="G104" s="85" t="s">
        <v>82</v>
      </c>
      <c r="H104" s="85" t="s">
        <v>511</v>
      </c>
      <c r="I104" s="85" t="s">
        <v>320</v>
      </c>
      <c r="J104" s="86">
        <v>43633</v>
      </c>
      <c r="K104" s="85">
        <v>2019</v>
      </c>
      <c r="L104" s="86">
        <v>43668</v>
      </c>
      <c r="M104" s="87">
        <v>0.65625</v>
      </c>
      <c r="N104" s="85" t="s">
        <v>64</v>
      </c>
      <c r="O104" s="85" t="s">
        <v>240</v>
      </c>
      <c r="P104" s="85" t="s">
        <v>34</v>
      </c>
      <c r="Q104" s="85" t="s">
        <v>113</v>
      </c>
      <c r="R104" s="96">
        <v>0</v>
      </c>
      <c r="S104" s="97" t="s">
        <v>36</v>
      </c>
      <c r="T104" s="73"/>
      <c r="U104" s="79" t="s">
        <v>37</v>
      </c>
      <c r="V104" s="76" t="s">
        <v>37</v>
      </c>
      <c r="W104" s="80" t="e">
        <f t="shared" ca="1" si="0"/>
        <v>#VALUE!</v>
      </c>
      <c r="X104" s="79" t="s">
        <v>38</v>
      </c>
      <c r="Y104" s="73"/>
    </row>
    <row r="105" spans="1:25" ht="29.25" customHeight="1">
      <c r="A105" s="25">
        <v>104</v>
      </c>
      <c r="B105" s="85" t="s">
        <v>25</v>
      </c>
      <c r="C105" s="85" t="s">
        <v>515</v>
      </c>
      <c r="D105" s="85" t="s">
        <v>516</v>
      </c>
      <c r="E105" s="88" t="s">
        <v>28</v>
      </c>
      <c r="F105" s="73" t="s">
        <v>425</v>
      </c>
      <c r="G105" s="85" t="s">
        <v>157</v>
      </c>
      <c r="H105" s="85" t="s">
        <v>517</v>
      </c>
      <c r="I105" s="85" t="s">
        <v>427</v>
      </c>
      <c r="J105" s="86">
        <v>43671</v>
      </c>
      <c r="K105" s="85">
        <v>2019</v>
      </c>
      <c r="L105" s="86">
        <v>43675</v>
      </c>
      <c r="M105" s="87">
        <v>0.54166666666666696</v>
      </c>
      <c r="N105" s="85" t="s">
        <v>437</v>
      </c>
      <c r="O105" s="85" t="s">
        <v>518</v>
      </c>
      <c r="P105" s="85" t="s">
        <v>34</v>
      </c>
      <c r="Q105" s="85" t="s">
        <v>113</v>
      </c>
      <c r="R105" s="96">
        <v>0</v>
      </c>
      <c r="S105" s="97" t="s">
        <v>36</v>
      </c>
      <c r="T105" s="73"/>
      <c r="U105" s="79" t="s">
        <v>37</v>
      </c>
      <c r="V105" s="76" t="s">
        <v>37</v>
      </c>
      <c r="W105" s="80" t="e">
        <f t="shared" ca="1" si="0"/>
        <v>#VALUE!</v>
      </c>
      <c r="X105" s="79" t="s">
        <v>38</v>
      </c>
      <c r="Y105" s="73"/>
    </row>
    <row r="106" spans="1:25" ht="30">
      <c r="A106" s="25">
        <v>105</v>
      </c>
      <c r="B106" s="85" t="s">
        <v>25</v>
      </c>
      <c r="C106" s="85" t="s">
        <v>519</v>
      </c>
      <c r="D106" s="85" t="s">
        <v>447</v>
      </c>
      <c r="E106" s="88" t="s">
        <v>49</v>
      </c>
      <c r="F106" s="73" t="s">
        <v>148</v>
      </c>
      <c r="G106" s="85" t="s">
        <v>30</v>
      </c>
      <c r="H106" s="73" t="s">
        <v>76</v>
      </c>
      <c r="I106" s="85" t="s">
        <v>320</v>
      </c>
      <c r="J106" s="86">
        <v>43684</v>
      </c>
      <c r="K106" s="85">
        <v>2019</v>
      </c>
      <c r="L106" s="86">
        <v>43692</v>
      </c>
      <c r="M106" s="87">
        <v>0.41666666666666702</v>
      </c>
      <c r="N106" s="85" t="s">
        <v>354</v>
      </c>
      <c r="O106" s="85" t="s">
        <v>520</v>
      </c>
      <c r="P106" s="85" t="s">
        <v>103</v>
      </c>
      <c r="Q106" s="85" t="s">
        <v>35</v>
      </c>
      <c r="R106" s="96">
        <v>0</v>
      </c>
      <c r="S106" s="97" t="s">
        <v>36</v>
      </c>
      <c r="T106" s="73"/>
      <c r="U106" s="79" t="s">
        <v>37</v>
      </c>
      <c r="V106" s="76" t="s">
        <v>37</v>
      </c>
      <c r="W106" s="80" t="e">
        <f t="shared" ca="1" si="0"/>
        <v>#VALUE!</v>
      </c>
      <c r="X106" s="79" t="s">
        <v>521</v>
      </c>
      <c r="Y106" s="73"/>
    </row>
    <row r="107" spans="1:25" ht="15">
      <c r="A107" s="25">
        <v>106</v>
      </c>
      <c r="B107" s="85" t="s">
        <v>25</v>
      </c>
      <c r="C107" s="85" t="s">
        <v>522</v>
      </c>
      <c r="D107" s="85" t="s">
        <v>447</v>
      </c>
      <c r="E107" s="88" t="s">
        <v>49</v>
      </c>
      <c r="F107" s="73" t="s">
        <v>148</v>
      </c>
      <c r="G107" s="85" t="s">
        <v>30</v>
      </c>
      <c r="H107" s="73" t="s">
        <v>76</v>
      </c>
      <c r="I107" s="85" t="s">
        <v>320</v>
      </c>
      <c r="J107" s="86">
        <v>43692</v>
      </c>
      <c r="K107" s="85">
        <v>2019</v>
      </c>
      <c r="L107" s="86">
        <v>43698</v>
      </c>
      <c r="M107" s="87">
        <v>0.51388888888888895</v>
      </c>
      <c r="N107" s="85" t="s">
        <v>501</v>
      </c>
      <c r="O107" s="85" t="s">
        <v>523</v>
      </c>
      <c r="P107" s="85" t="s">
        <v>103</v>
      </c>
      <c r="Q107" s="85" t="s">
        <v>35</v>
      </c>
      <c r="R107" s="96">
        <v>0</v>
      </c>
      <c r="S107" s="97" t="s">
        <v>36</v>
      </c>
      <c r="T107" s="73"/>
      <c r="U107" s="79" t="s">
        <v>37</v>
      </c>
      <c r="V107" s="76" t="s">
        <v>37</v>
      </c>
      <c r="W107" s="80" t="e">
        <f t="shared" ca="1" si="0"/>
        <v>#VALUE!</v>
      </c>
      <c r="X107" s="79" t="s">
        <v>521</v>
      </c>
      <c r="Y107" s="73"/>
    </row>
    <row r="108" spans="1:25" ht="26.25" customHeight="1">
      <c r="A108" s="25">
        <v>107</v>
      </c>
      <c r="B108" s="85" t="s">
        <v>25</v>
      </c>
      <c r="C108" s="85" t="s">
        <v>524</v>
      </c>
      <c r="D108" s="85" t="s">
        <v>525</v>
      </c>
      <c r="E108" s="88" t="s">
        <v>49</v>
      </c>
      <c r="F108" s="85" t="s">
        <v>526</v>
      </c>
      <c r="G108" s="85" t="s">
        <v>30</v>
      </c>
      <c r="H108" s="85" t="s">
        <v>527</v>
      </c>
      <c r="I108" s="85" t="s">
        <v>320</v>
      </c>
      <c r="J108" s="86">
        <v>43700</v>
      </c>
      <c r="K108" s="85">
        <v>2019</v>
      </c>
      <c r="L108" s="86">
        <v>43703</v>
      </c>
      <c r="M108" s="87">
        <v>0.54166666666666696</v>
      </c>
      <c r="N108" s="85" t="s">
        <v>528</v>
      </c>
      <c r="O108" s="85" t="s">
        <v>529</v>
      </c>
      <c r="P108" s="85" t="s">
        <v>103</v>
      </c>
      <c r="Q108" s="85" t="s">
        <v>530</v>
      </c>
      <c r="R108" s="96"/>
      <c r="S108" s="97"/>
      <c r="T108" s="73"/>
      <c r="U108" s="79"/>
      <c r="V108" s="76"/>
      <c r="W108" s="80"/>
      <c r="X108" s="79"/>
      <c r="Y108" s="73"/>
    </row>
    <row r="109" spans="1:25" ht="26.25" customHeight="1">
      <c r="A109" s="25">
        <v>108</v>
      </c>
      <c r="B109" s="85" t="s">
        <v>25</v>
      </c>
      <c r="C109" s="85" t="s">
        <v>531</v>
      </c>
      <c r="D109" s="85" t="s">
        <v>532</v>
      </c>
      <c r="E109" s="88" t="s">
        <v>49</v>
      </c>
      <c r="F109" s="85" t="s">
        <v>390</v>
      </c>
      <c r="G109" s="85" t="s">
        <v>30</v>
      </c>
      <c r="H109" s="85" t="s">
        <v>63</v>
      </c>
      <c r="I109" s="85" t="s">
        <v>320</v>
      </c>
      <c r="J109" s="86">
        <v>43699</v>
      </c>
      <c r="K109" s="85">
        <v>2019</v>
      </c>
      <c r="L109" s="86">
        <v>43713</v>
      </c>
      <c r="M109" s="87">
        <v>0.47222222222222199</v>
      </c>
      <c r="N109" s="85" t="s">
        <v>533</v>
      </c>
      <c r="O109" s="85" t="s">
        <v>534</v>
      </c>
      <c r="P109" s="85" t="s">
        <v>103</v>
      </c>
      <c r="Q109" s="85" t="s">
        <v>113</v>
      </c>
      <c r="R109" s="96">
        <v>0</v>
      </c>
      <c r="S109" s="97"/>
      <c r="T109" s="73"/>
      <c r="U109" s="79"/>
      <c r="V109" s="76"/>
      <c r="W109" s="80"/>
      <c r="X109" s="79"/>
      <c r="Y109" s="73"/>
    </row>
    <row r="110" spans="1:25" ht="15">
      <c r="A110" s="25">
        <v>109</v>
      </c>
      <c r="B110" s="85" t="s">
        <v>25</v>
      </c>
      <c r="C110" s="85" t="s">
        <v>535</v>
      </c>
      <c r="D110" s="85" t="s">
        <v>536</v>
      </c>
      <c r="E110" s="88" t="s">
        <v>49</v>
      </c>
      <c r="F110" s="73" t="s">
        <v>358</v>
      </c>
      <c r="G110" s="85" t="s">
        <v>30</v>
      </c>
      <c r="H110" s="85" t="s">
        <v>51</v>
      </c>
      <c r="I110" s="85" t="s">
        <v>320</v>
      </c>
      <c r="J110" s="86">
        <v>43692</v>
      </c>
      <c r="K110" s="85">
        <v>2019</v>
      </c>
      <c r="L110" s="86">
        <v>43703</v>
      </c>
      <c r="M110" s="87">
        <v>0.625</v>
      </c>
      <c r="N110" s="85" t="s">
        <v>64</v>
      </c>
      <c r="O110" s="85" t="s">
        <v>240</v>
      </c>
      <c r="P110" s="85" t="s">
        <v>34</v>
      </c>
      <c r="Q110" s="85" t="s">
        <v>113</v>
      </c>
      <c r="R110" s="96">
        <v>0</v>
      </c>
      <c r="S110" s="97" t="s">
        <v>36</v>
      </c>
      <c r="T110" s="73"/>
      <c r="U110" s="79" t="s">
        <v>37</v>
      </c>
      <c r="V110" s="76" t="s">
        <v>37</v>
      </c>
      <c r="W110" s="80" t="e">
        <f ca="1">V110-TODAY()</f>
        <v>#VALUE!</v>
      </c>
      <c r="X110" s="79" t="s">
        <v>38</v>
      </c>
      <c r="Y110" s="73"/>
    </row>
    <row r="111" spans="1:25" ht="34.5" customHeight="1">
      <c r="A111" s="25">
        <v>110</v>
      </c>
      <c r="B111" s="85" t="s">
        <v>25</v>
      </c>
      <c r="C111" s="85" t="s">
        <v>537</v>
      </c>
      <c r="D111" s="85" t="s">
        <v>538</v>
      </c>
      <c r="E111" s="88" t="s">
        <v>28</v>
      </c>
      <c r="F111" s="73" t="s">
        <v>539</v>
      </c>
      <c r="G111" s="85" t="s">
        <v>30</v>
      </c>
      <c r="H111" s="85" t="s">
        <v>51</v>
      </c>
      <c r="I111" s="85" t="s">
        <v>320</v>
      </c>
      <c r="J111" s="86">
        <v>43696</v>
      </c>
      <c r="K111" s="85">
        <v>2019</v>
      </c>
      <c r="L111" s="86">
        <v>43703</v>
      </c>
      <c r="M111" s="87">
        <v>0.60416666666666696</v>
      </c>
      <c r="N111" s="85" t="s">
        <v>125</v>
      </c>
      <c r="O111" s="85" t="s">
        <v>186</v>
      </c>
      <c r="P111" s="85" t="s">
        <v>34</v>
      </c>
      <c r="Q111" s="85" t="s">
        <v>113</v>
      </c>
      <c r="R111" s="96">
        <v>0</v>
      </c>
      <c r="S111" s="97" t="s">
        <v>36</v>
      </c>
      <c r="T111" s="73"/>
      <c r="U111" s="79" t="s">
        <v>37</v>
      </c>
      <c r="V111" s="76" t="s">
        <v>37</v>
      </c>
      <c r="W111" s="80" t="e">
        <f ca="1">V111-TODAY()</f>
        <v>#VALUE!</v>
      </c>
      <c r="X111" s="79" t="s">
        <v>38</v>
      </c>
      <c r="Y111" s="73"/>
    </row>
    <row r="112" spans="1:25" ht="30.75" customHeight="1">
      <c r="A112" s="25">
        <v>111</v>
      </c>
      <c r="B112" s="85" t="s">
        <v>25</v>
      </c>
      <c r="C112" s="85" t="s">
        <v>540</v>
      </c>
      <c r="D112" s="85" t="s">
        <v>541</v>
      </c>
      <c r="E112" s="88" t="s">
        <v>49</v>
      </c>
      <c r="F112" s="85" t="s">
        <v>81</v>
      </c>
      <c r="G112" s="85" t="s">
        <v>50</v>
      </c>
      <c r="H112" s="85" t="s">
        <v>83</v>
      </c>
      <c r="I112" s="85" t="s">
        <v>287</v>
      </c>
      <c r="J112" s="86">
        <v>43719</v>
      </c>
      <c r="K112" s="85">
        <v>2019</v>
      </c>
      <c r="L112" s="86">
        <v>43720</v>
      </c>
      <c r="M112" s="87">
        <v>0.53472222222222199</v>
      </c>
      <c r="N112" s="85" t="s">
        <v>64</v>
      </c>
      <c r="O112" s="85" t="s">
        <v>542</v>
      </c>
      <c r="P112" s="85" t="s">
        <v>34</v>
      </c>
      <c r="Q112" s="85" t="s">
        <v>543</v>
      </c>
      <c r="R112" s="96">
        <v>6</v>
      </c>
      <c r="S112" s="97" t="s">
        <v>36</v>
      </c>
      <c r="T112" s="73"/>
      <c r="U112" s="79"/>
      <c r="V112" s="76"/>
      <c r="W112" s="80"/>
      <c r="X112" s="79"/>
      <c r="Y112" s="73"/>
    </row>
    <row r="113" spans="1:25" ht="30">
      <c r="A113" s="25">
        <v>112</v>
      </c>
      <c r="B113" s="85" t="s">
        <v>25</v>
      </c>
      <c r="C113" s="85" t="s">
        <v>544</v>
      </c>
      <c r="D113" s="85" t="s">
        <v>545</v>
      </c>
      <c r="E113" s="88" t="s">
        <v>49</v>
      </c>
      <c r="F113" s="73" t="s">
        <v>81</v>
      </c>
      <c r="G113" s="85" t="s">
        <v>50</v>
      </c>
      <c r="H113" s="85" t="s">
        <v>83</v>
      </c>
      <c r="I113" s="85" t="s">
        <v>287</v>
      </c>
      <c r="J113" s="86">
        <v>43718</v>
      </c>
      <c r="K113" s="85">
        <v>2019</v>
      </c>
      <c r="L113" s="86">
        <v>43720</v>
      </c>
      <c r="M113" s="87">
        <v>0.60416666666666696</v>
      </c>
      <c r="N113" s="85" t="s">
        <v>64</v>
      </c>
      <c r="O113" s="85" t="s">
        <v>546</v>
      </c>
      <c r="P113" s="85" t="s">
        <v>34</v>
      </c>
      <c r="Q113" s="85" t="s">
        <v>66</v>
      </c>
      <c r="R113" s="96">
        <v>0</v>
      </c>
      <c r="S113" s="97" t="s">
        <v>36</v>
      </c>
      <c r="T113" s="73"/>
      <c r="U113" s="79" t="s">
        <v>37</v>
      </c>
      <c r="V113" s="76" t="s">
        <v>37</v>
      </c>
      <c r="W113" s="80" t="e">
        <f ca="1">V113-TODAY()</f>
        <v>#VALUE!</v>
      </c>
      <c r="X113" s="79" t="s">
        <v>38</v>
      </c>
      <c r="Y113" s="73"/>
    </row>
    <row r="114" spans="1:25" ht="30" customHeight="1">
      <c r="A114" s="25">
        <v>113</v>
      </c>
      <c r="B114" s="85" t="s">
        <v>25</v>
      </c>
      <c r="C114" s="85" t="s">
        <v>547</v>
      </c>
      <c r="D114" s="85" t="s">
        <v>548</v>
      </c>
      <c r="E114" s="88" t="s">
        <v>49</v>
      </c>
      <c r="F114" s="73" t="s">
        <v>151</v>
      </c>
      <c r="G114" s="85" t="s">
        <v>50</v>
      </c>
      <c r="H114" s="85" t="s">
        <v>63</v>
      </c>
      <c r="I114" s="85" t="s">
        <v>320</v>
      </c>
      <c r="J114" s="86">
        <v>43726</v>
      </c>
      <c r="K114" s="85">
        <v>2019</v>
      </c>
      <c r="L114" s="86"/>
      <c r="M114" s="87">
        <v>0.243055555555556</v>
      </c>
      <c r="N114" s="85" t="s">
        <v>549</v>
      </c>
      <c r="O114" s="85" t="s">
        <v>53</v>
      </c>
      <c r="P114" s="85" t="s">
        <v>144</v>
      </c>
      <c r="Q114" s="85" t="s">
        <v>550</v>
      </c>
      <c r="R114" s="96">
        <v>4</v>
      </c>
      <c r="S114" s="97" t="s">
        <v>36</v>
      </c>
      <c r="T114" s="73"/>
      <c r="U114" s="79"/>
      <c r="V114" s="76"/>
      <c r="W114" s="80"/>
      <c r="X114" s="79"/>
      <c r="Y114" s="73"/>
    </row>
    <row r="115" spans="1:25" ht="30" customHeight="1">
      <c r="A115" s="25">
        <v>114</v>
      </c>
      <c r="B115" s="85" t="s">
        <v>25</v>
      </c>
      <c r="C115" s="85" t="s">
        <v>551</v>
      </c>
      <c r="D115" s="85" t="s">
        <v>552</v>
      </c>
      <c r="E115" s="88" t="s">
        <v>28</v>
      </c>
      <c r="F115" s="73" t="s">
        <v>151</v>
      </c>
      <c r="G115" s="85" t="s">
        <v>41</v>
      </c>
      <c r="H115" s="85" t="s">
        <v>63</v>
      </c>
      <c r="I115" s="85" t="s">
        <v>320</v>
      </c>
      <c r="J115" s="86">
        <v>43747</v>
      </c>
      <c r="K115" s="85">
        <v>2019</v>
      </c>
      <c r="L115" s="86">
        <v>43760</v>
      </c>
      <c r="M115" s="87">
        <v>0.72916666666666696</v>
      </c>
      <c r="N115" s="85" t="s">
        <v>354</v>
      </c>
      <c r="O115" s="85" t="s">
        <v>553</v>
      </c>
      <c r="P115" s="85" t="s">
        <v>34</v>
      </c>
      <c r="Q115" s="85" t="s">
        <v>35</v>
      </c>
      <c r="R115" s="96">
        <v>0</v>
      </c>
      <c r="S115" s="97" t="s">
        <v>36</v>
      </c>
      <c r="T115" s="73"/>
      <c r="U115" s="79"/>
      <c r="V115" s="76"/>
      <c r="W115" s="80"/>
      <c r="X115" s="79"/>
      <c r="Y115" s="73"/>
    </row>
    <row r="116" spans="1:25" ht="15">
      <c r="A116" s="25">
        <v>115</v>
      </c>
      <c r="B116" s="85" t="s">
        <v>25</v>
      </c>
      <c r="C116" s="85" t="s">
        <v>554</v>
      </c>
      <c r="D116" s="85" t="s">
        <v>555</v>
      </c>
      <c r="E116" s="88" t="s">
        <v>49</v>
      </c>
      <c r="F116" s="73" t="s">
        <v>358</v>
      </c>
      <c r="G116" s="85" t="s">
        <v>41</v>
      </c>
      <c r="H116" s="85" t="s">
        <v>63</v>
      </c>
      <c r="I116" s="85" t="s">
        <v>320</v>
      </c>
      <c r="J116" s="86">
        <v>43748</v>
      </c>
      <c r="K116" s="85">
        <v>2019</v>
      </c>
      <c r="L116" s="86">
        <v>43759</v>
      </c>
      <c r="M116" s="87">
        <v>0.6875</v>
      </c>
      <c r="N116" s="85" t="s">
        <v>556</v>
      </c>
      <c r="O116" s="85" t="s">
        <v>557</v>
      </c>
      <c r="P116" s="85" t="s">
        <v>34</v>
      </c>
      <c r="Q116" s="85" t="s">
        <v>558</v>
      </c>
      <c r="R116" s="96">
        <v>3</v>
      </c>
      <c r="S116" s="97" t="s">
        <v>36</v>
      </c>
      <c r="T116" s="73"/>
      <c r="U116" s="79" t="s">
        <v>37</v>
      </c>
      <c r="V116" s="76" t="s">
        <v>37</v>
      </c>
      <c r="W116" s="80" t="e">
        <f t="shared" ref="W116:W122" ca="1" si="1">V116-TODAY()</f>
        <v>#VALUE!</v>
      </c>
      <c r="X116" s="79" t="s">
        <v>38</v>
      </c>
      <c r="Y116" s="73"/>
    </row>
    <row r="117" spans="1:25" ht="15">
      <c r="A117" s="25">
        <v>116</v>
      </c>
      <c r="B117" s="85" t="s">
        <v>25</v>
      </c>
      <c r="C117" s="85" t="s">
        <v>559</v>
      </c>
      <c r="D117" s="85" t="s">
        <v>442</v>
      </c>
      <c r="E117" s="88" t="s">
        <v>49</v>
      </c>
      <c r="F117" s="85" t="s">
        <v>148</v>
      </c>
      <c r="G117" s="85" t="s">
        <v>75</v>
      </c>
      <c r="H117" s="73" t="s">
        <v>76</v>
      </c>
      <c r="I117" s="85" t="s">
        <v>320</v>
      </c>
      <c r="J117" s="86">
        <v>43765</v>
      </c>
      <c r="K117" s="85">
        <v>2019</v>
      </c>
      <c r="L117" s="86">
        <v>43768</v>
      </c>
      <c r="M117" s="87">
        <v>0.39583333333333298</v>
      </c>
      <c r="N117" s="85" t="s">
        <v>125</v>
      </c>
      <c r="O117" s="85" t="s">
        <v>240</v>
      </c>
      <c r="P117" s="73" t="s">
        <v>34</v>
      </c>
      <c r="Q117" s="73" t="s">
        <v>113</v>
      </c>
      <c r="R117" s="83">
        <v>0</v>
      </c>
      <c r="S117" s="76" t="s">
        <v>560</v>
      </c>
      <c r="T117" s="73"/>
      <c r="U117" s="79" t="s">
        <v>37</v>
      </c>
      <c r="V117" s="76" t="s">
        <v>37</v>
      </c>
      <c r="W117" s="80" t="e">
        <f t="shared" ca="1" si="1"/>
        <v>#VALUE!</v>
      </c>
      <c r="X117" s="79" t="s">
        <v>38</v>
      </c>
      <c r="Y117" s="73"/>
    </row>
    <row r="118" spans="1:25" ht="15">
      <c r="A118" s="25">
        <v>117</v>
      </c>
      <c r="B118" s="85" t="s">
        <v>25</v>
      </c>
      <c r="C118" s="85" t="s">
        <v>561</v>
      </c>
      <c r="D118" s="85" t="s">
        <v>562</v>
      </c>
      <c r="E118" s="88" t="s">
        <v>49</v>
      </c>
      <c r="F118" s="73" t="s">
        <v>358</v>
      </c>
      <c r="G118" s="85" t="s">
        <v>56</v>
      </c>
      <c r="H118" s="73" t="s">
        <v>511</v>
      </c>
      <c r="I118" s="85" t="s">
        <v>320</v>
      </c>
      <c r="J118" s="86">
        <v>43775</v>
      </c>
      <c r="K118" s="85">
        <v>2019</v>
      </c>
      <c r="L118" s="86">
        <v>43789</v>
      </c>
      <c r="M118" s="87" t="s">
        <v>563</v>
      </c>
      <c r="N118" s="85" t="s">
        <v>564</v>
      </c>
      <c r="O118" s="85" t="s">
        <v>240</v>
      </c>
      <c r="P118" s="73" t="s">
        <v>34</v>
      </c>
      <c r="Q118" s="85" t="s">
        <v>113</v>
      </c>
      <c r="R118" s="83">
        <v>0</v>
      </c>
      <c r="S118" s="97" t="s">
        <v>36</v>
      </c>
      <c r="T118" s="73"/>
      <c r="U118" s="79" t="s">
        <v>37</v>
      </c>
      <c r="V118" s="76" t="s">
        <v>37</v>
      </c>
      <c r="W118" s="80" t="e">
        <f t="shared" ca="1" si="1"/>
        <v>#VALUE!</v>
      </c>
      <c r="X118" s="79" t="s">
        <v>38</v>
      </c>
      <c r="Y118" s="73"/>
    </row>
    <row r="119" spans="1:25" ht="15">
      <c r="A119" s="25">
        <v>118</v>
      </c>
      <c r="B119" s="85" t="s">
        <v>25</v>
      </c>
      <c r="C119" s="85" t="s">
        <v>565</v>
      </c>
      <c r="D119" s="85" t="s">
        <v>375</v>
      </c>
      <c r="E119" s="88" t="s">
        <v>49</v>
      </c>
      <c r="F119" s="73" t="s">
        <v>358</v>
      </c>
      <c r="G119" s="85" t="s">
        <v>56</v>
      </c>
      <c r="H119" s="73" t="s">
        <v>135</v>
      </c>
      <c r="I119" s="85" t="s">
        <v>320</v>
      </c>
      <c r="J119" s="86">
        <v>43776</v>
      </c>
      <c r="K119" s="85">
        <v>2019</v>
      </c>
      <c r="L119" s="86">
        <v>43781</v>
      </c>
      <c r="M119" s="87" t="s">
        <v>563</v>
      </c>
      <c r="N119" s="85" t="s">
        <v>566</v>
      </c>
      <c r="O119" s="85" t="s">
        <v>78</v>
      </c>
      <c r="P119" s="73" t="s">
        <v>34</v>
      </c>
      <c r="Q119" s="85" t="s">
        <v>35</v>
      </c>
      <c r="R119" s="83">
        <v>0</v>
      </c>
      <c r="S119" s="97" t="s">
        <v>36</v>
      </c>
      <c r="T119" s="73"/>
      <c r="U119" s="79" t="s">
        <v>37</v>
      </c>
      <c r="V119" s="76" t="s">
        <v>37</v>
      </c>
      <c r="W119" s="80" t="e">
        <f t="shared" ca="1" si="1"/>
        <v>#VALUE!</v>
      </c>
      <c r="X119" s="79" t="s">
        <v>38</v>
      </c>
      <c r="Y119" s="73"/>
    </row>
    <row r="120" spans="1:25" ht="30">
      <c r="A120" s="25">
        <v>119</v>
      </c>
      <c r="B120" s="85" t="s">
        <v>25</v>
      </c>
      <c r="C120" s="85" t="s">
        <v>567</v>
      </c>
      <c r="D120" s="85" t="s">
        <v>568</v>
      </c>
      <c r="E120" s="88" t="s">
        <v>49</v>
      </c>
      <c r="F120" s="73" t="s">
        <v>569</v>
      </c>
      <c r="G120" s="85" t="s">
        <v>56</v>
      </c>
      <c r="H120" s="73" t="s">
        <v>570</v>
      </c>
      <c r="I120" s="85" t="s">
        <v>320</v>
      </c>
      <c r="J120" s="86">
        <v>43782</v>
      </c>
      <c r="K120" s="85">
        <v>2019</v>
      </c>
      <c r="L120" s="86">
        <v>43790</v>
      </c>
      <c r="M120" s="87">
        <v>0.52083333333333304</v>
      </c>
      <c r="N120" s="85" t="s">
        <v>260</v>
      </c>
      <c r="O120" s="85" t="s">
        <v>222</v>
      </c>
      <c r="P120" s="85" t="s">
        <v>34</v>
      </c>
      <c r="Q120" s="85" t="s">
        <v>571</v>
      </c>
      <c r="R120" s="96">
        <v>0</v>
      </c>
      <c r="S120" s="97" t="s">
        <v>36</v>
      </c>
      <c r="T120" s="73"/>
      <c r="U120" s="79" t="s">
        <v>37</v>
      </c>
      <c r="V120" s="76" t="s">
        <v>37</v>
      </c>
      <c r="W120" s="80" t="e">
        <f t="shared" ca="1" si="1"/>
        <v>#VALUE!</v>
      </c>
      <c r="X120" s="79" t="s">
        <v>38</v>
      </c>
      <c r="Y120" s="73"/>
    </row>
    <row r="121" spans="1:25" ht="15">
      <c r="A121" s="25">
        <v>120</v>
      </c>
      <c r="B121" s="85" t="s">
        <v>25</v>
      </c>
      <c r="C121" s="85" t="s">
        <v>572</v>
      </c>
      <c r="D121" s="85" t="s">
        <v>573</v>
      </c>
      <c r="E121" s="88" t="s">
        <v>49</v>
      </c>
      <c r="F121" s="73" t="s">
        <v>358</v>
      </c>
      <c r="G121" s="85" t="s">
        <v>56</v>
      </c>
      <c r="H121" s="73" t="s">
        <v>574</v>
      </c>
      <c r="I121" s="85" t="s">
        <v>320</v>
      </c>
      <c r="J121" s="86">
        <v>43787</v>
      </c>
      <c r="K121" s="85">
        <v>2019</v>
      </c>
      <c r="L121" s="86">
        <v>43790</v>
      </c>
      <c r="M121" s="87">
        <v>0.46527777777777801</v>
      </c>
      <c r="N121" s="85" t="s">
        <v>64</v>
      </c>
      <c r="O121" s="85" t="s">
        <v>240</v>
      </c>
      <c r="P121" s="85" t="s">
        <v>34</v>
      </c>
      <c r="Q121" s="85" t="s">
        <v>113</v>
      </c>
      <c r="R121" s="96">
        <v>0</v>
      </c>
      <c r="S121" s="97" t="s">
        <v>36</v>
      </c>
      <c r="T121" s="73"/>
      <c r="U121" s="79" t="s">
        <v>37</v>
      </c>
      <c r="V121" s="76" t="s">
        <v>37</v>
      </c>
      <c r="W121" s="80" t="e">
        <f t="shared" ca="1" si="1"/>
        <v>#VALUE!</v>
      </c>
      <c r="X121" s="79" t="s">
        <v>38</v>
      </c>
      <c r="Y121" s="73"/>
    </row>
    <row r="122" spans="1:25" ht="30">
      <c r="A122" s="25">
        <v>121</v>
      </c>
      <c r="B122" s="85" t="s">
        <v>25</v>
      </c>
      <c r="C122" s="85" t="s">
        <v>575</v>
      </c>
      <c r="D122" s="85" t="s">
        <v>576</v>
      </c>
      <c r="E122" s="88" t="s">
        <v>49</v>
      </c>
      <c r="F122" s="73" t="s">
        <v>358</v>
      </c>
      <c r="G122" s="85" t="s">
        <v>56</v>
      </c>
      <c r="H122" s="73" t="s">
        <v>208</v>
      </c>
      <c r="I122" s="85" t="s">
        <v>320</v>
      </c>
      <c r="J122" s="86">
        <v>43794</v>
      </c>
      <c r="K122" s="85">
        <v>2019</v>
      </c>
      <c r="L122" s="86">
        <v>43802</v>
      </c>
      <c r="M122" s="87">
        <v>0.72916666666666696</v>
      </c>
      <c r="N122" s="85" t="s">
        <v>221</v>
      </c>
      <c r="O122" s="85" t="s">
        <v>577</v>
      </c>
      <c r="P122" s="85" t="s">
        <v>34</v>
      </c>
      <c r="Q122" s="85" t="s">
        <v>578</v>
      </c>
      <c r="R122" s="96">
        <v>10</v>
      </c>
      <c r="S122" s="97" t="s">
        <v>36</v>
      </c>
      <c r="T122" s="73"/>
      <c r="U122" s="79" t="s">
        <v>37</v>
      </c>
      <c r="V122" s="76" t="s">
        <v>37</v>
      </c>
      <c r="W122" s="80" t="e">
        <f t="shared" ca="1" si="1"/>
        <v>#VALUE!</v>
      </c>
      <c r="X122" s="79" t="s">
        <v>38</v>
      </c>
      <c r="Y122" s="73" t="s">
        <v>579</v>
      </c>
    </row>
    <row r="123" spans="1:25" ht="15">
      <c r="A123" s="25">
        <v>122</v>
      </c>
      <c r="B123" s="85" t="s">
        <v>25</v>
      </c>
      <c r="C123" s="85" t="s">
        <v>580</v>
      </c>
      <c r="D123" s="85" t="s">
        <v>581</v>
      </c>
      <c r="E123" s="88" t="s">
        <v>49</v>
      </c>
      <c r="F123" s="73" t="s">
        <v>582</v>
      </c>
      <c r="G123" s="85" t="s">
        <v>70</v>
      </c>
      <c r="H123" s="85" t="s">
        <v>583</v>
      </c>
      <c r="I123" s="85" t="s">
        <v>584</v>
      </c>
      <c r="J123" s="86">
        <v>43801</v>
      </c>
      <c r="K123" s="85">
        <v>2020</v>
      </c>
      <c r="L123" s="86">
        <v>43850</v>
      </c>
      <c r="M123" s="87">
        <v>0.66666666666666696</v>
      </c>
      <c r="N123" s="85" t="s">
        <v>354</v>
      </c>
      <c r="O123" s="85" t="s">
        <v>585</v>
      </c>
      <c r="P123" s="85" t="s">
        <v>34</v>
      </c>
      <c r="Q123" s="85" t="s">
        <v>35</v>
      </c>
      <c r="R123" s="96">
        <v>0</v>
      </c>
      <c r="S123" s="97" t="s">
        <v>36</v>
      </c>
      <c r="T123" s="73"/>
      <c r="U123" s="79"/>
      <c r="V123" s="76"/>
      <c r="W123" s="80"/>
      <c r="X123" s="79"/>
      <c r="Y123" s="73"/>
    </row>
    <row r="124" spans="1:25" ht="15">
      <c r="A124" s="44">
        <v>123</v>
      </c>
      <c r="B124" s="44" t="s">
        <v>311</v>
      </c>
      <c r="C124" s="44" t="s">
        <v>586</v>
      </c>
      <c r="D124" s="98" t="s">
        <v>587</v>
      </c>
      <c r="E124" s="44" t="s">
        <v>28</v>
      </c>
      <c r="F124" s="44" t="s">
        <v>588</v>
      </c>
      <c r="G124" s="44" t="s">
        <v>124</v>
      </c>
      <c r="H124" s="44" t="s">
        <v>589</v>
      </c>
      <c r="I124" s="44" t="s">
        <v>496</v>
      </c>
      <c r="J124" s="99">
        <v>43836</v>
      </c>
      <c r="K124" s="44">
        <v>2020</v>
      </c>
      <c r="L124" s="99">
        <v>43838</v>
      </c>
      <c r="M124" s="100">
        <v>0.4375</v>
      </c>
      <c r="N124" s="92" t="s">
        <v>64</v>
      </c>
      <c r="O124" s="92" t="s">
        <v>590</v>
      </c>
      <c r="P124" s="92" t="s">
        <v>34</v>
      </c>
      <c r="Q124" s="92" t="s">
        <v>66</v>
      </c>
      <c r="R124" s="101">
        <v>0</v>
      </c>
      <c r="S124" s="92" t="s">
        <v>36</v>
      </c>
      <c r="T124" s="102" t="s">
        <v>36</v>
      </c>
      <c r="U124" s="95" t="s">
        <v>37</v>
      </c>
      <c r="V124" s="92" t="s">
        <v>37</v>
      </c>
      <c r="W124" s="94" t="s">
        <v>37</v>
      </c>
      <c r="X124" s="95" t="s">
        <v>38</v>
      </c>
      <c r="Y124" s="103"/>
    </row>
    <row r="125" spans="1:25" ht="30">
      <c r="A125" s="25">
        <v>124</v>
      </c>
      <c r="B125" s="104" t="s">
        <v>25</v>
      </c>
      <c r="C125" s="104" t="s">
        <v>591</v>
      </c>
      <c r="D125" s="105" t="s">
        <v>592</v>
      </c>
      <c r="E125" s="104" t="s">
        <v>49</v>
      </c>
      <c r="F125" s="106" t="s">
        <v>358</v>
      </c>
      <c r="G125" s="104" t="s">
        <v>124</v>
      </c>
      <c r="H125" s="106" t="s">
        <v>593</v>
      </c>
      <c r="I125" s="104" t="s">
        <v>427</v>
      </c>
      <c r="J125" s="107">
        <v>43843</v>
      </c>
      <c r="K125" s="104">
        <v>2020</v>
      </c>
      <c r="L125" s="107">
        <v>43850</v>
      </c>
      <c r="M125" s="108">
        <v>0.55208333333333304</v>
      </c>
      <c r="N125" s="104" t="s">
        <v>221</v>
      </c>
      <c r="O125" s="104" t="s">
        <v>240</v>
      </c>
      <c r="P125" s="104" t="s">
        <v>34</v>
      </c>
      <c r="Q125" s="104" t="s">
        <v>113</v>
      </c>
      <c r="R125" s="109">
        <v>0</v>
      </c>
      <c r="S125" s="110" t="s">
        <v>36</v>
      </c>
      <c r="T125" s="106"/>
      <c r="U125" s="111" t="s">
        <v>37</v>
      </c>
      <c r="V125" s="112" t="s">
        <v>37</v>
      </c>
      <c r="W125" s="113" t="e">
        <f ca="1">V125-TODAY()</f>
        <v>#VALUE!</v>
      </c>
      <c r="X125" s="111" t="s">
        <v>38</v>
      </c>
      <c r="Y125" s="106" t="s">
        <v>594</v>
      </c>
    </row>
    <row r="126" spans="1:25" ht="15">
      <c r="A126" s="25">
        <v>125</v>
      </c>
      <c r="B126" s="106" t="s">
        <v>25</v>
      </c>
      <c r="C126" s="106" t="s">
        <v>595</v>
      </c>
      <c r="D126" s="114" t="s">
        <v>596</v>
      </c>
      <c r="E126" s="106" t="s">
        <v>49</v>
      </c>
      <c r="F126" s="106" t="s">
        <v>148</v>
      </c>
      <c r="G126" s="106" t="s">
        <v>124</v>
      </c>
      <c r="H126" s="106" t="s">
        <v>71</v>
      </c>
      <c r="I126" s="106" t="s">
        <v>320</v>
      </c>
      <c r="J126" s="115">
        <v>43854</v>
      </c>
      <c r="K126" s="106">
        <v>2020</v>
      </c>
      <c r="L126" s="115">
        <v>43857</v>
      </c>
      <c r="M126" s="116">
        <v>0.35416666666666702</v>
      </c>
      <c r="N126" s="112" t="s">
        <v>64</v>
      </c>
      <c r="O126" s="112" t="s">
        <v>597</v>
      </c>
      <c r="P126" s="112" t="s">
        <v>103</v>
      </c>
      <c r="Q126" s="112" t="s">
        <v>598</v>
      </c>
      <c r="R126" s="117">
        <v>2</v>
      </c>
      <c r="S126" s="112" t="s">
        <v>36</v>
      </c>
      <c r="T126" s="118"/>
      <c r="U126" s="111" t="s">
        <v>37</v>
      </c>
      <c r="V126" s="112" t="s">
        <v>37</v>
      </c>
      <c r="W126" s="113" t="s">
        <v>37</v>
      </c>
      <c r="X126" s="111" t="s">
        <v>38</v>
      </c>
      <c r="Y126" s="119" t="s">
        <v>599</v>
      </c>
    </row>
    <row r="127" spans="1:25" ht="30">
      <c r="A127" s="25">
        <v>126</v>
      </c>
      <c r="B127" s="106" t="s">
        <v>25</v>
      </c>
      <c r="C127" s="106" t="s">
        <v>600</v>
      </c>
      <c r="D127" s="114" t="s">
        <v>601</v>
      </c>
      <c r="E127" s="106" t="s">
        <v>49</v>
      </c>
      <c r="F127" s="106" t="s">
        <v>358</v>
      </c>
      <c r="G127" s="106" t="s">
        <v>75</v>
      </c>
      <c r="H127" s="106" t="s">
        <v>511</v>
      </c>
      <c r="I127" s="104" t="s">
        <v>584</v>
      </c>
      <c r="J127" s="115">
        <v>43869</v>
      </c>
      <c r="K127" s="106">
        <v>2020</v>
      </c>
      <c r="L127" s="115">
        <v>43872</v>
      </c>
      <c r="M127" s="116">
        <v>0.4375</v>
      </c>
      <c r="N127" s="112" t="s">
        <v>501</v>
      </c>
      <c r="O127" s="104" t="s">
        <v>585</v>
      </c>
      <c r="P127" s="112" t="s">
        <v>103</v>
      </c>
      <c r="Q127" s="104" t="s">
        <v>113</v>
      </c>
      <c r="R127" s="117">
        <v>0</v>
      </c>
      <c r="S127" s="112" t="s">
        <v>36</v>
      </c>
      <c r="T127" s="118"/>
      <c r="U127" s="111" t="s">
        <v>37</v>
      </c>
      <c r="V127" s="112" t="s">
        <v>37</v>
      </c>
      <c r="W127" s="113" t="s">
        <v>37</v>
      </c>
      <c r="X127" s="111" t="s">
        <v>38</v>
      </c>
      <c r="Y127" s="106" t="s">
        <v>602</v>
      </c>
    </row>
    <row r="128" spans="1:25" ht="30">
      <c r="A128" s="25">
        <v>127</v>
      </c>
      <c r="B128" s="106" t="s">
        <v>25</v>
      </c>
      <c r="C128" s="106" t="s">
        <v>603</v>
      </c>
      <c r="D128" s="114" t="s">
        <v>604</v>
      </c>
      <c r="E128" s="106" t="s">
        <v>49</v>
      </c>
      <c r="F128" s="106" t="s">
        <v>514</v>
      </c>
      <c r="G128" s="106" t="s">
        <v>75</v>
      </c>
      <c r="H128" s="106" t="s">
        <v>605</v>
      </c>
      <c r="I128" s="106" t="s">
        <v>320</v>
      </c>
      <c r="J128" s="115">
        <v>43871</v>
      </c>
      <c r="K128" s="106">
        <v>2020</v>
      </c>
      <c r="L128" s="115">
        <v>43873</v>
      </c>
      <c r="M128" s="116">
        <v>0.4375</v>
      </c>
      <c r="N128" s="112" t="s">
        <v>64</v>
      </c>
      <c r="O128" s="112" t="s">
        <v>606</v>
      </c>
      <c r="P128" s="112" t="s">
        <v>103</v>
      </c>
      <c r="Q128" s="112" t="s">
        <v>66</v>
      </c>
      <c r="R128" s="117">
        <v>0</v>
      </c>
      <c r="S128" s="112" t="s">
        <v>36</v>
      </c>
      <c r="T128" s="118"/>
      <c r="U128" s="111" t="s">
        <v>37</v>
      </c>
      <c r="V128" s="112" t="s">
        <v>37</v>
      </c>
      <c r="W128" s="113" t="s">
        <v>37</v>
      </c>
      <c r="X128" s="111" t="s">
        <v>38</v>
      </c>
      <c r="Y128" s="106" t="s">
        <v>607</v>
      </c>
    </row>
    <row r="129" spans="1:25" ht="33.75" customHeight="1">
      <c r="A129" s="25">
        <v>128</v>
      </c>
      <c r="B129" s="106" t="s">
        <v>25</v>
      </c>
      <c r="C129" s="106" t="s">
        <v>608</v>
      </c>
      <c r="D129" s="114" t="s">
        <v>609</v>
      </c>
      <c r="E129" s="106" t="s">
        <v>49</v>
      </c>
      <c r="F129" s="106" t="s">
        <v>358</v>
      </c>
      <c r="G129" s="106" t="s">
        <v>75</v>
      </c>
      <c r="H129" s="106" t="s">
        <v>71</v>
      </c>
      <c r="I129" s="106" t="s">
        <v>320</v>
      </c>
      <c r="J129" s="115">
        <v>43872</v>
      </c>
      <c r="K129" s="106">
        <v>2020</v>
      </c>
      <c r="L129" s="115">
        <v>43879</v>
      </c>
      <c r="M129" s="116">
        <v>0.29861111111111099</v>
      </c>
      <c r="N129" s="112" t="s">
        <v>610</v>
      </c>
      <c r="O129" s="112" t="s">
        <v>611</v>
      </c>
      <c r="P129" s="112" t="s">
        <v>103</v>
      </c>
      <c r="Q129" s="112" t="s">
        <v>452</v>
      </c>
      <c r="R129" s="117">
        <v>0</v>
      </c>
      <c r="S129" s="112" t="s">
        <v>36</v>
      </c>
      <c r="T129" s="118"/>
      <c r="U129" s="111" t="s">
        <v>37</v>
      </c>
      <c r="V129" s="112" t="s">
        <v>37</v>
      </c>
      <c r="W129" s="113" t="s">
        <v>37</v>
      </c>
      <c r="X129" s="111" t="s">
        <v>38</v>
      </c>
      <c r="Y129" s="106" t="s">
        <v>612</v>
      </c>
    </row>
    <row r="130" spans="1:25" ht="30" customHeight="1">
      <c r="A130" s="25">
        <v>129</v>
      </c>
      <c r="B130" s="106" t="s">
        <v>25</v>
      </c>
      <c r="C130" s="106" t="s">
        <v>613</v>
      </c>
      <c r="D130" s="114" t="s">
        <v>614</v>
      </c>
      <c r="E130" s="106" t="s">
        <v>49</v>
      </c>
      <c r="F130" s="106" t="s">
        <v>358</v>
      </c>
      <c r="G130" s="106" t="s">
        <v>75</v>
      </c>
      <c r="H130" s="106" t="s">
        <v>615</v>
      </c>
      <c r="I130" s="104" t="s">
        <v>320</v>
      </c>
      <c r="J130" s="115">
        <v>43873</v>
      </c>
      <c r="K130" s="106">
        <v>2020</v>
      </c>
      <c r="L130" s="115">
        <v>43879</v>
      </c>
      <c r="M130" s="116">
        <v>0.625</v>
      </c>
      <c r="N130" s="112" t="s">
        <v>616</v>
      </c>
      <c r="O130" s="104" t="s">
        <v>617</v>
      </c>
      <c r="P130" s="112" t="s">
        <v>103</v>
      </c>
      <c r="Q130" s="104" t="s">
        <v>113</v>
      </c>
      <c r="R130" s="117">
        <v>0</v>
      </c>
      <c r="S130" s="112" t="s">
        <v>36</v>
      </c>
      <c r="T130" s="118"/>
      <c r="U130" s="111" t="s">
        <v>37</v>
      </c>
      <c r="V130" s="112" t="s">
        <v>37</v>
      </c>
      <c r="W130" s="113" t="s">
        <v>37</v>
      </c>
      <c r="X130" s="111" t="s">
        <v>38</v>
      </c>
      <c r="Y130" s="106" t="s">
        <v>602</v>
      </c>
    </row>
    <row r="131" spans="1:25" ht="56.25" customHeight="1">
      <c r="A131" s="25">
        <v>130</v>
      </c>
      <c r="B131" s="104" t="s">
        <v>25</v>
      </c>
      <c r="C131" s="104" t="s">
        <v>618</v>
      </c>
      <c r="D131" s="105" t="s">
        <v>619</v>
      </c>
      <c r="E131" s="104" t="s">
        <v>49</v>
      </c>
      <c r="F131" s="104" t="s">
        <v>148</v>
      </c>
      <c r="G131" s="104" t="s">
        <v>75</v>
      </c>
      <c r="H131" s="104" t="s">
        <v>76</v>
      </c>
      <c r="I131" s="104" t="s">
        <v>320</v>
      </c>
      <c r="J131" s="107">
        <v>43880</v>
      </c>
      <c r="K131" s="104">
        <v>2020</v>
      </c>
      <c r="L131" s="107">
        <v>43892</v>
      </c>
      <c r="M131" s="108">
        <v>0.49305555555555602</v>
      </c>
      <c r="N131" s="110" t="s">
        <v>620</v>
      </c>
      <c r="O131" s="104" t="s">
        <v>621</v>
      </c>
      <c r="P131" s="110" t="s">
        <v>103</v>
      </c>
      <c r="Q131" s="104" t="s">
        <v>622</v>
      </c>
      <c r="R131" s="120">
        <v>0</v>
      </c>
      <c r="S131" s="110" t="s">
        <v>36</v>
      </c>
      <c r="T131" s="118"/>
      <c r="U131" s="111" t="s">
        <v>37</v>
      </c>
      <c r="V131" s="112" t="s">
        <v>37</v>
      </c>
      <c r="W131" s="113" t="s">
        <v>37</v>
      </c>
      <c r="X131" s="111" t="s">
        <v>38</v>
      </c>
      <c r="Y131" s="106" t="s">
        <v>602</v>
      </c>
    </row>
    <row r="132" spans="1:25" ht="56.25" customHeight="1">
      <c r="A132" s="25">
        <v>131</v>
      </c>
      <c r="B132" s="104" t="s">
        <v>25</v>
      </c>
      <c r="C132" s="104" t="s">
        <v>623</v>
      </c>
      <c r="D132" s="105" t="s">
        <v>624</v>
      </c>
      <c r="E132" s="104" t="s">
        <v>49</v>
      </c>
      <c r="F132" s="106" t="s">
        <v>358</v>
      </c>
      <c r="G132" s="104" t="s">
        <v>244</v>
      </c>
      <c r="H132" s="104" t="s">
        <v>71</v>
      </c>
      <c r="I132" s="104" t="s">
        <v>320</v>
      </c>
      <c r="J132" s="107">
        <v>43973</v>
      </c>
      <c r="K132" s="104">
        <v>2020</v>
      </c>
      <c r="L132" s="107">
        <v>44011</v>
      </c>
      <c r="M132" s="108">
        <v>0.69444444444444398</v>
      </c>
      <c r="N132" s="110" t="s">
        <v>32</v>
      </c>
      <c r="O132" s="104" t="s">
        <v>625</v>
      </c>
      <c r="P132" s="110" t="s">
        <v>103</v>
      </c>
      <c r="Q132" s="104" t="s">
        <v>113</v>
      </c>
      <c r="R132" s="120">
        <v>0</v>
      </c>
      <c r="S132" s="110" t="s">
        <v>36</v>
      </c>
      <c r="T132" s="118"/>
      <c r="U132" s="111"/>
      <c r="V132" s="112"/>
      <c r="W132" s="113"/>
      <c r="X132" s="111"/>
      <c r="Y132" s="106"/>
    </row>
    <row r="133" spans="1:25" ht="42.75" customHeight="1">
      <c r="A133" s="25">
        <v>132</v>
      </c>
      <c r="B133" s="104" t="s">
        <v>25</v>
      </c>
      <c r="C133" s="104" t="s">
        <v>626</v>
      </c>
      <c r="D133" s="105" t="s">
        <v>627</v>
      </c>
      <c r="E133" s="104" t="s">
        <v>28</v>
      </c>
      <c r="F133" s="104" t="s">
        <v>492</v>
      </c>
      <c r="G133" s="104" t="s">
        <v>244</v>
      </c>
      <c r="H133" s="104" t="s">
        <v>71</v>
      </c>
      <c r="I133" s="104" t="s">
        <v>320</v>
      </c>
      <c r="J133" s="107">
        <v>43976</v>
      </c>
      <c r="K133" s="104">
        <v>2020</v>
      </c>
      <c r="L133" s="107">
        <v>43986</v>
      </c>
      <c r="M133" s="108">
        <v>0.41666666666666702</v>
      </c>
      <c r="N133" s="110" t="s">
        <v>43</v>
      </c>
      <c r="O133" s="104" t="s">
        <v>457</v>
      </c>
      <c r="P133" s="110" t="s">
        <v>103</v>
      </c>
      <c r="Q133" s="104" t="s">
        <v>628</v>
      </c>
      <c r="R133" s="120">
        <v>3</v>
      </c>
      <c r="S133" s="110" t="s">
        <v>220</v>
      </c>
      <c r="T133" s="118" t="s">
        <v>629</v>
      </c>
      <c r="U133" s="111" t="s">
        <v>37</v>
      </c>
      <c r="V133" s="112" t="s">
        <v>37</v>
      </c>
      <c r="W133" s="113" t="s">
        <v>37</v>
      </c>
      <c r="X133" s="111" t="s">
        <v>38</v>
      </c>
      <c r="Y133" s="106" t="s">
        <v>602</v>
      </c>
    </row>
    <row r="134" spans="1:25" ht="60">
      <c r="A134" s="25">
        <v>133</v>
      </c>
      <c r="B134" s="104" t="s">
        <v>25</v>
      </c>
      <c r="C134" s="104" t="s">
        <v>630</v>
      </c>
      <c r="D134" s="105" t="s">
        <v>419</v>
      </c>
      <c r="E134" s="104" t="s">
        <v>49</v>
      </c>
      <c r="F134" s="104" t="s">
        <v>148</v>
      </c>
      <c r="G134" s="104" t="s">
        <v>82</v>
      </c>
      <c r="H134" s="104" t="s">
        <v>631</v>
      </c>
      <c r="I134" s="104" t="s">
        <v>584</v>
      </c>
      <c r="J134" s="107">
        <v>43986</v>
      </c>
      <c r="K134" s="104">
        <v>2020</v>
      </c>
      <c r="L134" s="107">
        <v>43987</v>
      </c>
      <c r="M134" s="108">
        <v>0.625</v>
      </c>
      <c r="N134" s="110" t="s">
        <v>64</v>
      </c>
      <c r="O134" s="104" t="s">
        <v>621</v>
      </c>
      <c r="P134" s="110" t="s">
        <v>103</v>
      </c>
      <c r="Q134" s="104" t="s">
        <v>113</v>
      </c>
      <c r="R134" s="120">
        <v>0</v>
      </c>
      <c r="S134" s="110" t="s">
        <v>36</v>
      </c>
      <c r="T134" s="118"/>
      <c r="U134" s="111" t="s">
        <v>37</v>
      </c>
      <c r="V134" s="112" t="s">
        <v>37</v>
      </c>
      <c r="W134" s="113" t="s">
        <v>37</v>
      </c>
      <c r="X134" s="111" t="s">
        <v>38</v>
      </c>
      <c r="Y134" s="106"/>
    </row>
    <row r="135" spans="1:25" ht="30">
      <c r="A135" s="25">
        <v>134</v>
      </c>
      <c r="B135" s="104" t="s">
        <v>25</v>
      </c>
      <c r="C135" s="104" t="s">
        <v>632</v>
      </c>
      <c r="D135" s="105" t="s">
        <v>633</v>
      </c>
      <c r="E135" s="104" t="s">
        <v>49</v>
      </c>
      <c r="F135" s="104" t="s">
        <v>148</v>
      </c>
      <c r="G135" s="104" t="s">
        <v>82</v>
      </c>
      <c r="H135" s="104" t="s">
        <v>634</v>
      </c>
      <c r="I135" s="104" t="s">
        <v>584</v>
      </c>
      <c r="J135" s="107">
        <v>43992</v>
      </c>
      <c r="K135" s="104">
        <v>2020</v>
      </c>
      <c r="L135" s="107">
        <v>44007</v>
      </c>
      <c r="M135" s="108">
        <v>0.22916666666666699</v>
      </c>
      <c r="N135" s="110" t="s">
        <v>125</v>
      </c>
      <c r="O135" s="104" t="s">
        <v>635</v>
      </c>
      <c r="P135" s="110" t="s">
        <v>103</v>
      </c>
      <c r="Q135" s="104" t="s">
        <v>127</v>
      </c>
      <c r="R135" s="120">
        <v>0</v>
      </c>
      <c r="S135" s="110" t="s">
        <v>636</v>
      </c>
      <c r="T135" s="118" t="s">
        <v>637</v>
      </c>
      <c r="U135" s="111" t="s">
        <v>37</v>
      </c>
      <c r="V135" s="112" t="s">
        <v>37</v>
      </c>
      <c r="W135" s="113" t="s">
        <v>37</v>
      </c>
      <c r="X135" s="111" t="s">
        <v>38</v>
      </c>
      <c r="Y135" s="106"/>
    </row>
    <row r="136" spans="1:25" ht="30" customHeight="1">
      <c r="A136" s="25">
        <v>135</v>
      </c>
      <c r="B136" s="104" t="s">
        <v>25</v>
      </c>
      <c r="C136" s="104" t="s">
        <v>638</v>
      </c>
      <c r="D136" s="105" t="s">
        <v>639</v>
      </c>
      <c r="E136" s="104" t="s">
        <v>28</v>
      </c>
      <c r="F136" s="104" t="s">
        <v>640</v>
      </c>
      <c r="G136" s="104" t="s">
        <v>82</v>
      </c>
      <c r="H136" s="104" t="s">
        <v>257</v>
      </c>
      <c r="I136" s="104" t="s">
        <v>320</v>
      </c>
      <c r="J136" s="107">
        <v>44001</v>
      </c>
      <c r="K136" s="104">
        <v>2020</v>
      </c>
      <c r="L136" s="107">
        <v>44011</v>
      </c>
      <c r="M136" s="108">
        <v>0.5</v>
      </c>
      <c r="N136" s="110" t="s">
        <v>641</v>
      </c>
      <c r="O136" s="104" t="s">
        <v>451</v>
      </c>
      <c r="P136" s="110" t="s">
        <v>103</v>
      </c>
      <c r="Q136" s="104" t="s">
        <v>113</v>
      </c>
      <c r="R136" s="120">
        <v>0</v>
      </c>
      <c r="S136" s="110" t="s">
        <v>36</v>
      </c>
      <c r="T136" s="118"/>
      <c r="U136" s="111" t="s">
        <v>37</v>
      </c>
      <c r="V136" s="112" t="s">
        <v>37</v>
      </c>
      <c r="W136" s="113" t="s">
        <v>37</v>
      </c>
      <c r="X136" s="111" t="s">
        <v>38</v>
      </c>
      <c r="Y136" s="106"/>
    </row>
    <row r="137" spans="1:25" ht="23.25" customHeight="1">
      <c r="A137" s="25">
        <v>136</v>
      </c>
      <c r="B137" s="104" t="s">
        <v>25</v>
      </c>
      <c r="C137" s="104" t="s">
        <v>642</v>
      </c>
      <c r="D137" s="105" t="s">
        <v>643</v>
      </c>
      <c r="E137" s="104" t="s">
        <v>49</v>
      </c>
      <c r="F137" s="104" t="s">
        <v>148</v>
      </c>
      <c r="G137" s="104" t="s">
        <v>157</v>
      </c>
      <c r="H137" s="104" t="s">
        <v>644</v>
      </c>
      <c r="I137" s="104" t="s">
        <v>645</v>
      </c>
      <c r="J137" s="107">
        <v>44019</v>
      </c>
      <c r="K137" s="104">
        <v>2020</v>
      </c>
      <c r="L137" s="107">
        <v>44029</v>
      </c>
      <c r="M137" s="108">
        <v>0.91666666666666696</v>
      </c>
      <c r="N137" s="110" t="s">
        <v>646</v>
      </c>
      <c r="O137" s="104" t="s">
        <v>647</v>
      </c>
      <c r="P137" s="110" t="s">
        <v>103</v>
      </c>
      <c r="Q137" s="104" t="s">
        <v>113</v>
      </c>
      <c r="R137" s="120">
        <v>0</v>
      </c>
      <c r="S137" s="110" t="s">
        <v>36</v>
      </c>
      <c r="T137" s="118" t="s">
        <v>648</v>
      </c>
      <c r="U137" s="111" t="s">
        <v>37</v>
      </c>
      <c r="V137" s="112" t="s">
        <v>37</v>
      </c>
      <c r="W137" s="113" t="s">
        <v>37</v>
      </c>
      <c r="X137" s="111" t="s">
        <v>38</v>
      </c>
      <c r="Y137" s="118" t="s">
        <v>648</v>
      </c>
    </row>
    <row r="138" spans="1:25" ht="15">
      <c r="A138" s="25">
        <v>137</v>
      </c>
      <c r="B138" s="104" t="s">
        <v>25</v>
      </c>
      <c r="C138" s="104" t="s">
        <v>649</v>
      </c>
      <c r="D138" s="105" t="s">
        <v>650</v>
      </c>
      <c r="E138" s="104" t="s">
        <v>28</v>
      </c>
      <c r="F138" s="104" t="s">
        <v>539</v>
      </c>
      <c r="G138" s="104" t="s">
        <v>30</v>
      </c>
      <c r="H138" s="104" t="s">
        <v>651</v>
      </c>
      <c r="I138" s="104" t="s">
        <v>584</v>
      </c>
      <c r="J138" s="107">
        <v>44053</v>
      </c>
      <c r="K138" s="104">
        <v>2020</v>
      </c>
      <c r="L138" s="107">
        <v>44062</v>
      </c>
      <c r="M138" s="108">
        <v>0.5</v>
      </c>
      <c r="N138" s="110" t="s">
        <v>64</v>
      </c>
      <c r="O138" s="104" t="s">
        <v>240</v>
      </c>
      <c r="P138" s="110" t="s">
        <v>103</v>
      </c>
      <c r="Q138" s="104" t="s">
        <v>113</v>
      </c>
      <c r="R138" s="120">
        <v>0</v>
      </c>
      <c r="S138" s="110" t="s">
        <v>36</v>
      </c>
      <c r="T138" s="118"/>
      <c r="U138" s="111" t="s">
        <v>37</v>
      </c>
      <c r="V138" s="112" t="s">
        <v>37</v>
      </c>
      <c r="W138" s="113" t="s">
        <v>37</v>
      </c>
      <c r="X138" s="111" t="s">
        <v>38</v>
      </c>
      <c r="Y138" s="118"/>
    </row>
    <row r="139" spans="1:25" ht="30" customHeight="1">
      <c r="A139" s="25">
        <v>138</v>
      </c>
      <c r="B139" s="104" t="s">
        <v>25</v>
      </c>
      <c r="C139" s="104" t="s">
        <v>652</v>
      </c>
      <c r="D139" s="105" t="s">
        <v>653</v>
      </c>
      <c r="E139" s="104" t="s">
        <v>49</v>
      </c>
      <c r="F139" s="104" t="s">
        <v>358</v>
      </c>
      <c r="G139" s="104" t="s">
        <v>30</v>
      </c>
      <c r="H139" s="104" t="s">
        <v>654</v>
      </c>
      <c r="I139" s="104" t="s">
        <v>320</v>
      </c>
      <c r="J139" s="107">
        <v>44071</v>
      </c>
      <c r="K139" s="104">
        <v>2020</v>
      </c>
      <c r="L139" s="107">
        <v>44102</v>
      </c>
      <c r="M139" s="108">
        <v>0.34722222222222199</v>
      </c>
      <c r="N139" s="110" t="s">
        <v>64</v>
      </c>
      <c r="O139" s="104" t="s">
        <v>240</v>
      </c>
      <c r="P139" s="110" t="s">
        <v>103</v>
      </c>
      <c r="Q139" s="104" t="s">
        <v>113</v>
      </c>
      <c r="R139" s="120">
        <v>0</v>
      </c>
      <c r="S139" s="110" t="s">
        <v>36</v>
      </c>
      <c r="T139" s="118"/>
      <c r="U139" s="111" t="s">
        <v>37</v>
      </c>
      <c r="V139" s="112" t="s">
        <v>37</v>
      </c>
      <c r="W139" s="113" t="s">
        <v>37</v>
      </c>
      <c r="X139" s="111" t="s">
        <v>38</v>
      </c>
      <c r="Y139" s="118"/>
    </row>
    <row r="140" spans="1:25" ht="33" customHeight="1">
      <c r="A140" s="25">
        <v>139</v>
      </c>
      <c r="B140" s="104" t="s">
        <v>25</v>
      </c>
      <c r="C140" s="104" t="s">
        <v>655</v>
      </c>
      <c r="D140" s="105" t="s">
        <v>656</v>
      </c>
      <c r="E140" s="104" t="s">
        <v>49</v>
      </c>
      <c r="F140" s="104" t="s">
        <v>358</v>
      </c>
      <c r="G140" s="104" t="s">
        <v>50</v>
      </c>
      <c r="H140" s="104" t="s">
        <v>654</v>
      </c>
      <c r="I140" s="104" t="s">
        <v>320</v>
      </c>
      <c r="J140" s="107">
        <v>44091</v>
      </c>
      <c r="K140" s="104">
        <v>2020</v>
      </c>
      <c r="L140" s="107">
        <v>44097</v>
      </c>
      <c r="M140" s="108">
        <v>0.40972222222222199</v>
      </c>
      <c r="N140" s="110" t="s">
        <v>64</v>
      </c>
      <c r="O140" s="104" t="s">
        <v>240</v>
      </c>
      <c r="P140" s="110" t="s">
        <v>103</v>
      </c>
      <c r="Q140" s="104" t="s">
        <v>113</v>
      </c>
      <c r="R140" s="120">
        <v>0</v>
      </c>
      <c r="S140" s="110" t="s">
        <v>657</v>
      </c>
      <c r="T140" s="118" t="s">
        <v>658</v>
      </c>
      <c r="U140" s="111" t="s">
        <v>659</v>
      </c>
      <c r="V140" s="112" t="s">
        <v>37</v>
      </c>
      <c r="W140" s="113" t="s">
        <v>37</v>
      </c>
      <c r="X140" s="111" t="s">
        <v>38</v>
      </c>
      <c r="Y140" s="118"/>
    </row>
    <row r="141" spans="1:25" ht="30">
      <c r="A141" s="25">
        <v>140</v>
      </c>
      <c r="B141" s="104" t="s">
        <v>25</v>
      </c>
      <c r="C141" s="104" t="s">
        <v>660</v>
      </c>
      <c r="D141" s="105" t="s">
        <v>661</v>
      </c>
      <c r="E141" s="104" t="s">
        <v>49</v>
      </c>
      <c r="F141" s="104" t="s">
        <v>425</v>
      </c>
      <c r="G141" s="104" t="s">
        <v>41</v>
      </c>
      <c r="H141" s="104" t="s">
        <v>662</v>
      </c>
      <c r="I141" s="104" t="s">
        <v>663</v>
      </c>
      <c r="J141" s="107">
        <v>44110</v>
      </c>
      <c r="K141" s="104">
        <v>2020</v>
      </c>
      <c r="L141" s="107">
        <v>44175</v>
      </c>
      <c r="M141" s="108">
        <v>0.70833333333333304</v>
      </c>
      <c r="N141" s="110" t="s">
        <v>456</v>
      </c>
      <c r="O141" s="104" t="s">
        <v>222</v>
      </c>
      <c r="P141" s="110" t="s">
        <v>103</v>
      </c>
      <c r="Q141" s="104" t="s">
        <v>145</v>
      </c>
      <c r="R141" s="120">
        <v>14</v>
      </c>
      <c r="S141" s="110" t="s">
        <v>36</v>
      </c>
      <c r="T141" s="118"/>
      <c r="U141" s="111"/>
      <c r="V141" s="112" t="s">
        <v>37</v>
      </c>
      <c r="W141" s="113" t="s">
        <v>37</v>
      </c>
      <c r="X141" s="111" t="s">
        <v>38</v>
      </c>
      <c r="Y141" s="118"/>
    </row>
    <row r="142" spans="1:25" ht="30" customHeight="1">
      <c r="A142" s="25">
        <v>141</v>
      </c>
      <c r="B142" s="104" t="s">
        <v>25</v>
      </c>
      <c r="C142" s="104" t="s">
        <v>664</v>
      </c>
      <c r="D142" s="105" t="s">
        <v>665</v>
      </c>
      <c r="E142" s="104" t="s">
        <v>49</v>
      </c>
      <c r="F142" s="104" t="s">
        <v>358</v>
      </c>
      <c r="G142" s="104" t="s">
        <v>41</v>
      </c>
      <c r="H142" s="104" t="s">
        <v>666</v>
      </c>
      <c r="I142" s="104" t="s">
        <v>320</v>
      </c>
      <c r="J142" s="107">
        <v>44126</v>
      </c>
      <c r="K142" s="104">
        <v>2020</v>
      </c>
      <c r="L142" s="107">
        <v>44141</v>
      </c>
      <c r="M142" s="108">
        <v>0.64583333333333304</v>
      </c>
      <c r="N142" s="110" t="s">
        <v>64</v>
      </c>
      <c r="O142" s="104" t="s">
        <v>240</v>
      </c>
      <c r="P142" s="110" t="s">
        <v>103</v>
      </c>
      <c r="Q142" s="104" t="s">
        <v>113</v>
      </c>
      <c r="R142" s="120">
        <v>0</v>
      </c>
      <c r="S142" s="110" t="s">
        <v>36</v>
      </c>
      <c r="T142" s="118"/>
      <c r="U142" s="111"/>
      <c r="V142" s="112" t="s">
        <v>37</v>
      </c>
      <c r="W142" s="113" t="s">
        <v>37</v>
      </c>
      <c r="X142" s="111" t="s">
        <v>38</v>
      </c>
      <c r="Y142" s="118"/>
    </row>
    <row r="143" spans="1:25" ht="25.5" customHeight="1">
      <c r="A143" s="25">
        <v>142</v>
      </c>
      <c r="B143" s="104" t="s">
        <v>25</v>
      </c>
      <c r="C143" s="104" t="s">
        <v>667</v>
      </c>
      <c r="D143" s="105" t="s">
        <v>668</v>
      </c>
      <c r="E143" s="104" t="s">
        <v>49</v>
      </c>
      <c r="F143" s="104" t="s">
        <v>148</v>
      </c>
      <c r="G143" s="104" t="s">
        <v>41</v>
      </c>
      <c r="H143" s="104" t="s">
        <v>669</v>
      </c>
      <c r="I143" s="104" t="s">
        <v>320</v>
      </c>
      <c r="J143" s="107">
        <v>44132</v>
      </c>
      <c r="K143" s="104">
        <v>2020</v>
      </c>
      <c r="L143" s="107">
        <v>44144</v>
      </c>
      <c r="M143" s="108">
        <v>0.41666666666666702</v>
      </c>
      <c r="N143" s="110" t="s">
        <v>64</v>
      </c>
      <c r="O143" s="104" t="s">
        <v>670</v>
      </c>
      <c r="P143" s="110" t="s">
        <v>103</v>
      </c>
      <c r="Q143" s="104" t="s">
        <v>113</v>
      </c>
      <c r="R143" s="120">
        <v>0</v>
      </c>
      <c r="S143" s="110" t="s">
        <v>36</v>
      </c>
      <c r="T143" s="118"/>
      <c r="U143" s="111"/>
      <c r="V143" s="112" t="s">
        <v>37</v>
      </c>
      <c r="W143" s="113" t="s">
        <v>37</v>
      </c>
      <c r="X143" s="111" t="s">
        <v>38</v>
      </c>
      <c r="Y143" s="118"/>
    </row>
    <row r="144" spans="1:25" ht="33" customHeight="1">
      <c r="A144" s="25">
        <v>143</v>
      </c>
      <c r="B144" s="104" t="s">
        <v>25</v>
      </c>
      <c r="C144" s="104" t="s">
        <v>671</v>
      </c>
      <c r="D144" s="105" t="s">
        <v>672</v>
      </c>
      <c r="E144" s="104" t="s">
        <v>49</v>
      </c>
      <c r="F144" s="104" t="s">
        <v>305</v>
      </c>
      <c r="G144" s="104" t="s">
        <v>56</v>
      </c>
      <c r="H144" s="104" t="s">
        <v>287</v>
      </c>
      <c r="I144" s="104" t="s">
        <v>320</v>
      </c>
      <c r="J144" s="107">
        <v>44139</v>
      </c>
      <c r="K144" s="104">
        <v>2020</v>
      </c>
      <c r="L144" s="107">
        <v>44147</v>
      </c>
      <c r="M144" s="108">
        <v>0.3125</v>
      </c>
      <c r="N144" s="110" t="s">
        <v>673</v>
      </c>
      <c r="O144" s="104" t="s">
        <v>674</v>
      </c>
      <c r="P144" s="110" t="s">
        <v>103</v>
      </c>
      <c r="Q144" s="104" t="s">
        <v>113</v>
      </c>
      <c r="R144" s="120">
        <v>0</v>
      </c>
      <c r="S144" s="110" t="s">
        <v>36</v>
      </c>
      <c r="T144" s="118"/>
      <c r="U144" s="111"/>
      <c r="V144" s="112" t="s">
        <v>37</v>
      </c>
      <c r="W144" s="113" t="s">
        <v>37</v>
      </c>
      <c r="X144" s="111" t="s">
        <v>38</v>
      </c>
      <c r="Y144" s="118"/>
    </row>
    <row r="145" spans="1:25" ht="30.75" customHeight="1">
      <c r="A145" s="25">
        <v>144</v>
      </c>
      <c r="B145" s="104" t="s">
        <v>25</v>
      </c>
      <c r="C145" s="104" t="s">
        <v>675</v>
      </c>
      <c r="D145" s="105" t="s">
        <v>676</v>
      </c>
      <c r="E145" s="104" t="s">
        <v>49</v>
      </c>
      <c r="F145" s="104" t="s">
        <v>358</v>
      </c>
      <c r="G145" s="104" t="s">
        <v>56</v>
      </c>
      <c r="H145" s="104" t="s">
        <v>135</v>
      </c>
      <c r="I145" s="104" t="s">
        <v>320</v>
      </c>
      <c r="J145" s="107">
        <v>44144</v>
      </c>
      <c r="K145" s="104">
        <v>2020</v>
      </c>
      <c r="L145" s="107">
        <v>44207</v>
      </c>
      <c r="M145" s="108">
        <v>6.9444444444444397E-3</v>
      </c>
      <c r="N145" s="110" t="s">
        <v>64</v>
      </c>
      <c r="O145" s="104" t="s">
        <v>240</v>
      </c>
      <c r="P145" s="110" t="s">
        <v>103</v>
      </c>
      <c r="Q145" s="104" t="s">
        <v>113</v>
      </c>
      <c r="R145" s="120">
        <v>0</v>
      </c>
      <c r="S145" s="110" t="s">
        <v>36</v>
      </c>
      <c r="T145" s="118"/>
      <c r="U145" s="111"/>
      <c r="V145" s="112" t="s">
        <v>37</v>
      </c>
      <c r="W145" s="113" t="s">
        <v>37</v>
      </c>
      <c r="X145" s="111" t="s">
        <v>38</v>
      </c>
      <c r="Y145" s="118"/>
    </row>
    <row r="146" spans="1:25" ht="30" customHeight="1">
      <c r="A146" s="25">
        <v>145</v>
      </c>
      <c r="B146" s="104" t="s">
        <v>25</v>
      </c>
      <c r="C146" s="104" t="s">
        <v>677</v>
      </c>
      <c r="D146" s="105" t="s">
        <v>678</v>
      </c>
      <c r="E146" s="104" t="s">
        <v>49</v>
      </c>
      <c r="F146" s="104" t="s">
        <v>148</v>
      </c>
      <c r="G146" s="104" t="s">
        <v>56</v>
      </c>
      <c r="H146" s="104" t="s">
        <v>669</v>
      </c>
      <c r="I146" s="104" t="s">
        <v>320</v>
      </c>
      <c r="J146" s="107">
        <v>44147</v>
      </c>
      <c r="K146" s="104">
        <v>2020</v>
      </c>
      <c r="L146" s="107">
        <v>44148</v>
      </c>
      <c r="M146" s="108">
        <v>0.41666666666666702</v>
      </c>
      <c r="N146" s="110" t="s">
        <v>64</v>
      </c>
      <c r="O146" s="104" t="s">
        <v>670</v>
      </c>
      <c r="P146" s="110" t="s">
        <v>103</v>
      </c>
      <c r="Q146" s="104" t="s">
        <v>113</v>
      </c>
      <c r="R146" s="120">
        <v>0</v>
      </c>
      <c r="S146" s="110" t="s">
        <v>36</v>
      </c>
      <c r="T146" s="118"/>
      <c r="U146" s="111"/>
      <c r="V146" s="112" t="s">
        <v>37</v>
      </c>
      <c r="W146" s="113" t="s">
        <v>37</v>
      </c>
      <c r="X146" s="111" t="s">
        <v>38</v>
      </c>
      <c r="Y146" s="118"/>
    </row>
    <row r="147" spans="1:25" ht="25.5" customHeight="1">
      <c r="A147" s="25">
        <v>146</v>
      </c>
      <c r="B147" s="104" t="s">
        <v>25</v>
      </c>
      <c r="C147" s="104" t="s">
        <v>679</v>
      </c>
      <c r="D147" s="105" t="s">
        <v>680</v>
      </c>
      <c r="E147" s="104" t="s">
        <v>28</v>
      </c>
      <c r="F147" s="104" t="s">
        <v>681</v>
      </c>
      <c r="G147" s="104" t="s">
        <v>56</v>
      </c>
      <c r="H147" s="104" t="s">
        <v>396</v>
      </c>
      <c r="I147" s="104" t="s">
        <v>396</v>
      </c>
      <c r="J147" s="107">
        <v>44151</v>
      </c>
      <c r="K147" s="104">
        <v>2020</v>
      </c>
      <c r="L147" s="107">
        <v>44161</v>
      </c>
      <c r="M147" s="108">
        <v>0.66666666666666696</v>
      </c>
      <c r="N147" s="110" t="s">
        <v>64</v>
      </c>
      <c r="O147" s="104" t="s">
        <v>682</v>
      </c>
      <c r="P147" s="110" t="s">
        <v>103</v>
      </c>
      <c r="Q147" s="104" t="s">
        <v>113</v>
      </c>
      <c r="R147" s="120">
        <v>0</v>
      </c>
      <c r="S147" s="110" t="s">
        <v>36</v>
      </c>
      <c r="T147" s="118"/>
      <c r="U147" s="111"/>
      <c r="V147" s="112" t="s">
        <v>37</v>
      </c>
      <c r="W147" s="113" t="s">
        <v>37</v>
      </c>
      <c r="X147" s="111" t="s">
        <v>38</v>
      </c>
      <c r="Y147" s="118"/>
    </row>
    <row r="148" spans="1:25" ht="32.25" customHeight="1">
      <c r="A148" s="25">
        <v>147</v>
      </c>
      <c r="B148" s="104" t="s">
        <v>25</v>
      </c>
      <c r="C148" s="104" t="s">
        <v>683</v>
      </c>
      <c r="D148" s="105" t="s">
        <v>684</v>
      </c>
      <c r="E148" s="104" t="s">
        <v>49</v>
      </c>
      <c r="F148" s="104" t="s">
        <v>358</v>
      </c>
      <c r="G148" s="104" t="s">
        <v>70</v>
      </c>
      <c r="H148" s="104" t="s">
        <v>31</v>
      </c>
      <c r="I148" s="104" t="s">
        <v>685</v>
      </c>
      <c r="J148" s="107">
        <v>44174</v>
      </c>
      <c r="K148" s="104">
        <v>2020</v>
      </c>
      <c r="L148" s="107">
        <v>44180</v>
      </c>
      <c r="M148" s="108">
        <v>0.30138888888888898</v>
      </c>
      <c r="N148" s="110" t="s">
        <v>64</v>
      </c>
      <c r="O148" s="104" t="s">
        <v>670</v>
      </c>
      <c r="P148" s="110" t="s">
        <v>103</v>
      </c>
      <c r="Q148" s="104" t="s">
        <v>686</v>
      </c>
      <c r="R148" s="120">
        <v>0</v>
      </c>
      <c r="S148" s="110" t="s">
        <v>36</v>
      </c>
      <c r="T148" s="118"/>
      <c r="U148" s="111"/>
      <c r="V148" s="112" t="s">
        <v>37</v>
      </c>
      <c r="W148" s="113" t="s">
        <v>37</v>
      </c>
      <c r="X148" s="111" t="s">
        <v>38</v>
      </c>
      <c r="Y148" s="118"/>
    </row>
    <row r="149" spans="1:25" ht="30" customHeight="1">
      <c r="A149" s="25">
        <v>148</v>
      </c>
      <c r="B149" s="104" t="s">
        <v>25</v>
      </c>
      <c r="C149" s="104" t="s">
        <v>687</v>
      </c>
      <c r="D149" s="105" t="s">
        <v>656</v>
      </c>
      <c r="E149" s="104" t="s">
        <v>49</v>
      </c>
      <c r="F149" s="104" t="s">
        <v>358</v>
      </c>
      <c r="G149" s="104" t="s">
        <v>70</v>
      </c>
      <c r="H149" s="104" t="s">
        <v>511</v>
      </c>
      <c r="I149" s="104" t="s">
        <v>427</v>
      </c>
      <c r="J149" s="107">
        <v>44182</v>
      </c>
      <c r="K149" s="104">
        <v>2020</v>
      </c>
      <c r="L149" s="107">
        <v>44240</v>
      </c>
      <c r="M149" s="108">
        <v>0.3125</v>
      </c>
      <c r="N149" s="110" t="s">
        <v>456</v>
      </c>
      <c r="O149" s="104" t="s">
        <v>119</v>
      </c>
      <c r="P149" s="110" t="s">
        <v>103</v>
      </c>
      <c r="Q149" s="104" t="s">
        <v>173</v>
      </c>
      <c r="R149" s="120">
        <v>2</v>
      </c>
      <c r="S149" s="110" t="s">
        <v>36</v>
      </c>
      <c r="T149" s="118"/>
      <c r="U149" s="111"/>
      <c r="V149" s="112"/>
      <c r="W149" s="113"/>
      <c r="X149" s="111"/>
      <c r="Y149" s="118"/>
    </row>
    <row r="150" spans="1:25" ht="34.5" customHeight="1">
      <c r="A150" s="25">
        <v>149</v>
      </c>
      <c r="B150" s="104" t="s">
        <v>25</v>
      </c>
      <c r="C150" s="104" t="s">
        <v>688</v>
      </c>
      <c r="D150" s="105" t="s">
        <v>689</v>
      </c>
      <c r="E150" s="104" t="s">
        <v>49</v>
      </c>
      <c r="F150" s="104" t="s">
        <v>358</v>
      </c>
      <c r="G150" s="104" t="s">
        <v>70</v>
      </c>
      <c r="H150" s="104" t="s">
        <v>511</v>
      </c>
      <c r="I150" s="104" t="s">
        <v>584</v>
      </c>
      <c r="J150" s="107">
        <v>44191</v>
      </c>
      <c r="K150" s="104">
        <v>2020</v>
      </c>
      <c r="L150" s="107">
        <v>44209</v>
      </c>
      <c r="M150" s="108">
        <v>0.91666666666666696</v>
      </c>
      <c r="N150" s="110" t="s">
        <v>125</v>
      </c>
      <c r="O150" s="104" t="s">
        <v>240</v>
      </c>
      <c r="P150" s="110" t="s">
        <v>103</v>
      </c>
      <c r="Q150" s="104" t="s">
        <v>113</v>
      </c>
      <c r="R150" s="120">
        <v>0</v>
      </c>
      <c r="S150" s="110" t="s">
        <v>36</v>
      </c>
      <c r="T150" s="118"/>
      <c r="U150" s="111"/>
      <c r="V150" s="112" t="s">
        <v>37</v>
      </c>
      <c r="W150" s="113" t="s">
        <v>37</v>
      </c>
      <c r="X150" s="111" t="s">
        <v>38</v>
      </c>
      <c r="Y150" s="118"/>
    </row>
    <row r="151" spans="1:25" ht="39.75" customHeight="1">
      <c r="A151" s="25">
        <v>150</v>
      </c>
      <c r="B151" s="121" t="s">
        <v>25</v>
      </c>
      <c r="C151" s="121" t="s">
        <v>690</v>
      </c>
      <c r="D151" s="122" t="s">
        <v>691</v>
      </c>
      <c r="E151" s="121" t="s">
        <v>49</v>
      </c>
      <c r="F151" s="121" t="s">
        <v>358</v>
      </c>
      <c r="G151" s="121" t="s">
        <v>124</v>
      </c>
      <c r="H151" s="121" t="s">
        <v>692</v>
      </c>
      <c r="I151" s="121" t="s">
        <v>135</v>
      </c>
      <c r="J151" s="123">
        <v>44199</v>
      </c>
      <c r="K151" s="121">
        <v>2021</v>
      </c>
      <c r="L151" s="123">
        <v>44222</v>
      </c>
      <c r="M151" s="124">
        <v>0.25</v>
      </c>
      <c r="N151" s="125" t="s">
        <v>693</v>
      </c>
      <c r="O151" s="121" t="s">
        <v>694</v>
      </c>
      <c r="P151" s="125" t="s">
        <v>103</v>
      </c>
      <c r="Q151" s="121" t="s">
        <v>695</v>
      </c>
      <c r="R151" s="126">
        <v>0</v>
      </c>
      <c r="S151" s="125" t="s">
        <v>36</v>
      </c>
      <c r="T151" s="127"/>
      <c r="U151" s="128"/>
      <c r="V151" s="129" t="s">
        <v>37</v>
      </c>
      <c r="W151" s="130" t="s">
        <v>37</v>
      </c>
      <c r="X151" s="128" t="s">
        <v>38</v>
      </c>
      <c r="Y151" s="127"/>
    </row>
    <row r="152" spans="1:25" ht="30.75" customHeight="1">
      <c r="A152" s="25">
        <v>151</v>
      </c>
      <c r="B152" s="121" t="s">
        <v>25</v>
      </c>
      <c r="C152" s="121" t="s">
        <v>696</v>
      </c>
      <c r="D152" s="122" t="s">
        <v>697</v>
      </c>
      <c r="E152" s="121" t="s">
        <v>49</v>
      </c>
      <c r="F152" s="121" t="s">
        <v>358</v>
      </c>
      <c r="G152" s="121" t="s">
        <v>75</v>
      </c>
      <c r="H152" s="121" t="s">
        <v>692</v>
      </c>
      <c r="I152" s="121" t="s">
        <v>692</v>
      </c>
      <c r="J152" s="123">
        <v>44241</v>
      </c>
      <c r="K152" s="121">
        <v>2021</v>
      </c>
      <c r="L152" s="123">
        <v>44263</v>
      </c>
      <c r="M152" s="124">
        <v>0.47916666666666702</v>
      </c>
      <c r="N152" s="125" t="s">
        <v>64</v>
      </c>
      <c r="O152" s="121" t="s">
        <v>240</v>
      </c>
      <c r="P152" s="125" t="s">
        <v>103</v>
      </c>
      <c r="Q152" s="121" t="s">
        <v>113</v>
      </c>
      <c r="R152" s="126">
        <v>0</v>
      </c>
      <c r="S152" s="125" t="s">
        <v>698</v>
      </c>
      <c r="T152" s="125" t="s">
        <v>699</v>
      </c>
      <c r="U152" s="128"/>
      <c r="V152" s="129">
        <v>44267</v>
      </c>
      <c r="W152" s="130">
        <f ca="1">V152-TODAY()</f>
        <v>-2000</v>
      </c>
      <c r="X152" s="128" t="s">
        <v>310</v>
      </c>
      <c r="Y152" s="127"/>
    </row>
    <row r="153" spans="1:25" ht="30.75" customHeight="1">
      <c r="A153" s="25">
        <v>152</v>
      </c>
      <c r="B153" s="121" t="s">
        <v>25</v>
      </c>
      <c r="C153" s="121" t="s">
        <v>700</v>
      </c>
      <c r="D153" s="122" t="s">
        <v>701</v>
      </c>
      <c r="E153" s="121" t="s">
        <v>49</v>
      </c>
      <c r="F153" s="121" t="s">
        <v>358</v>
      </c>
      <c r="G153" s="121" t="s">
        <v>75</v>
      </c>
      <c r="H153" s="121" t="s">
        <v>702</v>
      </c>
      <c r="I153" s="121" t="s">
        <v>692</v>
      </c>
      <c r="J153" s="123">
        <v>44246</v>
      </c>
      <c r="K153" s="121">
        <v>2021</v>
      </c>
      <c r="L153" s="123">
        <v>44271</v>
      </c>
      <c r="M153" s="124">
        <v>0.41666666666666702</v>
      </c>
      <c r="N153" s="125" t="s">
        <v>703</v>
      </c>
      <c r="O153" s="121" t="s">
        <v>704</v>
      </c>
      <c r="P153" s="125" t="s">
        <v>144</v>
      </c>
      <c r="Q153" s="121" t="s">
        <v>705</v>
      </c>
      <c r="R153" s="126">
        <v>21</v>
      </c>
      <c r="S153" s="125"/>
      <c r="T153" s="125"/>
      <c r="U153" s="128"/>
      <c r="V153" s="129"/>
      <c r="W153" s="130"/>
      <c r="X153" s="128"/>
      <c r="Y153" s="127"/>
    </row>
    <row r="154" spans="1:25" ht="39" customHeight="1">
      <c r="A154" s="25">
        <v>153</v>
      </c>
      <c r="B154" s="121" t="s">
        <v>25</v>
      </c>
      <c r="C154" s="121" t="s">
        <v>706</v>
      </c>
      <c r="D154" s="122" t="s">
        <v>707</v>
      </c>
      <c r="E154" s="121" t="s">
        <v>49</v>
      </c>
      <c r="F154" s="121" t="s">
        <v>358</v>
      </c>
      <c r="G154" s="121" t="s">
        <v>75</v>
      </c>
      <c r="H154" s="121" t="s">
        <v>63</v>
      </c>
      <c r="I154" s="121" t="s">
        <v>708</v>
      </c>
      <c r="J154" s="123">
        <v>44250</v>
      </c>
      <c r="K154" s="121">
        <v>2021</v>
      </c>
      <c r="L154" s="123">
        <v>44259</v>
      </c>
      <c r="M154" s="124">
        <v>0.44444444444444398</v>
      </c>
      <c r="N154" s="125" t="s">
        <v>709</v>
      </c>
      <c r="O154" s="121" t="s">
        <v>710</v>
      </c>
      <c r="P154" s="125" t="s">
        <v>103</v>
      </c>
      <c r="Q154" s="121" t="s">
        <v>113</v>
      </c>
      <c r="R154" s="126">
        <v>0</v>
      </c>
      <c r="S154" s="125" t="s">
        <v>36</v>
      </c>
      <c r="T154" s="125"/>
      <c r="U154" s="128"/>
      <c r="V154" s="129"/>
      <c r="W154" s="130"/>
      <c r="X154" s="128"/>
      <c r="Y154" s="127"/>
    </row>
    <row r="155" spans="1:25" ht="15">
      <c r="A155" s="44">
        <v>154</v>
      </c>
      <c r="B155" s="88" t="s">
        <v>711</v>
      </c>
      <c r="C155" s="88" t="s">
        <v>712</v>
      </c>
      <c r="D155" s="131" t="s">
        <v>713</v>
      </c>
      <c r="E155" s="88" t="s">
        <v>28</v>
      </c>
      <c r="F155" s="88" t="s">
        <v>714</v>
      </c>
      <c r="G155" s="88" t="s">
        <v>75</v>
      </c>
      <c r="H155" s="88" t="s">
        <v>715</v>
      </c>
      <c r="I155" s="88" t="s">
        <v>716</v>
      </c>
      <c r="J155" s="89">
        <v>44254</v>
      </c>
      <c r="K155" s="88">
        <v>2021</v>
      </c>
      <c r="L155" s="89">
        <v>44260</v>
      </c>
      <c r="M155" s="132">
        <v>0.57291666666666696</v>
      </c>
      <c r="N155" s="133" t="s">
        <v>221</v>
      </c>
      <c r="O155" s="88" t="s">
        <v>717</v>
      </c>
      <c r="P155" s="133" t="s">
        <v>103</v>
      </c>
      <c r="Q155" s="88" t="s">
        <v>718</v>
      </c>
      <c r="R155" s="134">
        <v>21</v>
      </c>
      <c r="S155" s="133" t="s">
        <v>36</v>
      </c>
      <c r="T155" s="133"/>
      <c r="U155" s="95"/>
      <c r="V155" s="92" t="s">
        <v>37</v>
      </c>
      <c r="W155" s="94" t="s">
        <v>37</v>
      </c>
      <c r="X155" s="95" t="s">
        <v>38</v>
      </c>
      <c r="Y155" s="102"/>
    </row>
    <row r="156" spans="1:25" ht="30">
      <c r="A156" s="25">
        <v>155</v>
      </c>
      <c r="B156" s="121" t="s">
        <v>25</v>
      </c>
      <c r="C156" s="121" t="s">
        <v>719</v>
      </c>
      <c r="D156" s="122" t="s">
        <v>720</v>
      </c>
      <c r="E156" s="121" t="s">
        <v>28</v>
      </c>
      <c r="F156" s="121" t="s">
        <v>81</v>
      </c>
      <c r="G156" s="121" t="s">
        <v>134</v>
      </c>
      <c r="H156" s="121" t="s">
        <v>71</v>
      </c>
      <c r="I156" s="121" t="s">
        <v>71</v>
      </c>
      <c r="J156" s="123">
        <v>44256</v>
      </c>
      <c r="K156" s="121">
        <v>2021</v>
      </c>
      <c r="L156" s="123">
        <v>44258</v>
      </c>
      <c r="M156" s="124">
        <v>0.4375</v>
      </c>
      <c r="N156" s="125" t="s">
        <v>64</v>
      </c>
      <c r="O156" s="121" t="s">
        <v>721</v>
      </c>
      <c r="P156" s="125" t="s">
        <v>103</v>
      </c>
      <c r="Q156" s="121" t="s">
        <v>66</v>
      </c>
      <c r="R156" s="126">
        <v>3</v>
      </c>
      <c r="S156" s="125" t="s">
        <v>722</v>
      </c>
      <c r="T156" s="125" t="s">
        <v>699</v>
      </c>
      <c r="U156" s="128"/>
      <c r="V156" s="129">
        <v>44289</v>
      </c>
      <c r="W156" s="130">
        <f ca="1">V156-TODAY()</f>
        <v>-1978</v>
      </c>
      <c r="X156" s="128" t="s">
        <v>310</v>
      </c>
      <c r="Y156" s="127"/>
    </row>
    <row r="157" spans="1:25" ht="46.5" customHeight="1">
      <c r="A157" s="25">
        <v>156</v>
      </c>
      <c r="B157" s="121" t="s">
        <v>25</v>
      </c>
      <c r="C157" s="121" t="s">
        <v>723</v>
      </c>
      <c r="D157" s="122" t="s">
        <v>724</v>
      </c>
      <c r="E157" s="121" t="s">
        <v>49</v>
      </c>
      <c r="F157" s="121" t="s">
        <v>358</v>
      </c>
      <c r="G157" s="121" t="s">
        <v>134</v>
      </c>
      <c r="H157" s="121" t="s">
        <v>725</v>
      </c>
      <c r="I157" s="121" t="s">
        <v>511</v>
      </c>
      <c r="J157" s="123">
        <v>44257</v>
      </c>
      <c r="K157" s="121">
        <v>2021</v>
      </c>
      <c r="L157" s="123">
        <v>44264</v>
      </c>
      <c r="M157" s="124">
        <v>0.46527777777777801</v>
      </c>
      <c r="N157" s="125" t="s">
        <v>693</v>
      </c>
      <c r="O157" s="121" t="s">
        <v>726</v>
      </c>
      <c r="P157" s="125" t="s">
        <v>103</v>
      </c>
      <c r="Q157" s="121" t="s">
        <v>727</v>
      </c>
      <c r="R157" s="126">
        <v>0</v>
      </c>
      <c r="S157" s="125"/>
      <c r="T157" s="125"/>
      <c r="U157" s="128"/>
      <c r="V157" s="129"/>
      <c r="W157" s="130"/>
      <c r="X157" s="128"/>
      <c r="Y157" s="127"/>
    </row>
    <row r="158" spans="1:25" ht="46.5" customHeight="1">
      <c r="A158" s="25">
        <v>157</v>
      </c>
      <c r="B158" s="121" t="s">
        <v>25</v>
      </c>
      <c r="C158" s="121" t="s">
        <v>728</v>
      </c>
      <c r="D158" s="122" t="s">
        <v>729</v>
      </c>
      <c r="E158" s="121" t="s">
        <v>49</v>
      </c>
      <c r="F158" s="121" t="s">
        <v>358</v>
      </c>
      <c r="G158" s="121" t="s">
        <v>134</v>
      </c>
      <c r="H158" s="121" t="s">
        <v>730</v>
      </c>
      <c r="I158" s="121" t="s">
        <v>71</v>
      </c>
      <c r="J158" s="123">
        <v>44270</v>
      </c>
      <c r="K158" s="121">
        <v>2021</v>
      </c>
      <c r="L158" s="123">
        <v>44326</v>
      </c>
      <c r="M158" s="124">
        <v>0.28125</v>
      </c>
      <c r="N158" s="125" t="s">
        <v>64</v>
      </c>
      <c r="O158" s="121" t="s">
        <v>731</v>
      </c>
      <c r="P158" s="125" t="s">
        <v>103</v>
      </c>
      <c r="Q158" s="121" t="s">
        <v>732</v>
      </c>
      <c r="R158" s="126">
        <v>0</v>
      </c>
      <c r="S158" s="125"/>
      <c r="T158" s="125"/>
      <c r="U158" s="128"/>
      <c r="V158" s="129"/>
      <c r="W158" s="130"/>
      <c r="X158" s="128"/>
      <c r="Y158" s="127"/>
    </row>
    <row r="159" spans="1:25" ht="34.5" customHeight="1">
      <c r="A159" s="25">
        <v>158</v>
      </c>
      <c r="B159" s="121" t="s">
        <v>25</v>
      </c>
      <c r="C159" s="135" t="s">
        <v>733</v>
      </c>
      <c r="D159" s="122" t="s">
        <v>734</v>
      </c>
      <c r="E159" s="121" t="s">
        <v>49</v>
      </c>
      <c r="F159" s="121" t="s">
        <v>358</v>
      </c>
      <c r="G159" s="121" t="s">
        <v>134</v>
      </c>
      <c r="H159" s="121" t="s">
        <v>403</v>
      </c>
      <c r="I159" s="121" t="s">
        <v>403</v>
      </c>
      <c r="J159" s="123">
        <v>44281</v>
      </c>
      <c r="K159" s="121">
        <v>2021</v>
      </c>
      <c r="L159" s="123">
        <v>44284</v>
      </c>
      <c r="M159" s="124">
        <v>0.66666666666666696</v>
      </c>
      <c r="N159" s="125" t="s">
        <v>735</v>
      </c>
      <c r="O159" s="121" t="s">
        <v>736</v>
      </c>
      <c r="P159" s="125" t="s">
        <v>103</v>
      </c>
      <c r="Q159" s="121" t="s">
        <v>113</v>
      </c>
      <c r="R159" s="126">
        <v>0</v>
      </c>
      <c r="S159" s="125"/>
      <c r="T159" s="125"/>
      <c r="U159" s="128"/>
      <c r="V159" s="129"/>
      <c r="W159" s="130"/>
      <c r="X159" s="128"/>
      <c r="Y159" s="127"/>
    </row>
    <row r="160" spans="1:25" ht="31.5" customHeight="1">
      <c r="A160" s="25">
        <v>159</v>
      </c>
      <c r="B160" s="121" t="s">
        <v>25</v>
      </c>
      <c r="C160" s="121" t="s">
        <v>737</v>
      </c>
      <c r="D160" s="122" t="s">
        <v>738</v>
      </c>
      <c r="E160" s="121" t="s">
        <v>49</v>
      </c>
      <c r="F160" s="121" t="s">
        <v>358</v>
      </c>
      <c r="G160" s="121" t="s">
        <v>149</v>
      </c>
      <c r="H160" s="121" t="s">
        <v>666</v>
      </c>
      <c r="I160" s="121" t="s">
        <v>666</v>
      </c>
      <c r="J160" s="123">
        <v>44288</v>
      </c>
      <c r="K160" s="121">
        <v>2021</v>
      </c>
      <c r="L160" s="123">
        <v>44295</v>
      </c>
      <c r="M160" s="124">
        <v>0.41666666666666702</v>
      </c>
      <c r="N160" s="125" t="s">
        <v>136</v>
      </c>
      <c r="O160" s="121" t="s">
        <v>240</v>
      </c>
      <c r="P160" s="125" t="s">
        <v>103</v>
      </c>
      <c r="Q160" s="121" t="s">
        <v>113</v>
      </c>
      <c r="R160" s="126">
        <v>0</v>
      </c>
      <c r="S160" s="125"/>
      <c r="T160" s="125"/>
      <c r="U160" s="128"/>
      <c r="V160" s="129"/>
      <c r="W160" s="130"/>
      <c r="X160" s="128"/>
      <c r="Y160" s="127"/>
    </row>
    <row r="161" spans="1:25" ht="33.75" customHeight="1">
      <c r="A161" s="25">
        <v>160</v>
      </c>
      <c r="B161" s="121" t="s">
        <v>25</v>
      </c>
      <c r="C161" s="121" t="s">
        <v>739</v>
      </c>
      <c r="D161" s="122" t="s">
        <v>740</v>
      </c>
      <c r="E161" s="121" t="s">
        <v>49</v>
      </c>
      <c r="F161" s="121" t="s">
        <v>358</v>
      </c>
      <c r="G161" s="121" t="s">
        <v>149</v>
      </c>
      <c r="H161" s="121" t="s">
        <v>741</v>
      </c>
      <c r="I161" s="121" t="s">
        <v>742</v>
      </c>
      <c r="J161" s="123">
        <v>44294</v>
      </c>
      <c r="K161" s="121">
        <v>2021</v>
      </c>
      <c r="L161" s="123">
        <v>44305</v>
      </c>
      <c r="M161" s="124">
        <v>0.77430555555555602</v>
      </c>
      <c r="N161" s="125" t="s">
        <v>743</v>
      </c>
      <c r="O161" s="121" t="s">
        <v>744</v>
      </c>
      <c r="P161" s="125" t="s">
        <v>103</v>
      </c>
      <c r="Q161" s="121" t="s">
        <v>104</v>
      </c>
      <c r="R161" s="126">
        <v>11</v>
      </c>
      <c r="S161" s="125"/>
      <c r="T161" s="125"/>
      <c r="U161" s="128"/>
      <c r="V161" s="129"/>
      <c r="W161" s="130"/>
      <c r="X161" s="128"/>
      <c r="Y161" s="127"/>
    </row>
    <row r="162" spans="1:25" ht="29.25" customHeight="1">
      <c r="A162" s="25">
        <v>161</v>
      </c>
      <c r="B162" s="121" t="s">
        <v>25</v>
      </c>
      <c r="C162" s="121" t="s">
        <v>745</v>
      </c>
      <c r="D162" s="122" t="s">
        <v>92</v>
      </c>
      <c r="E162" s="121" t="s">
        <v>49</v>
      </c>
      <c r="F162" s="121" t="s">
        <v>358</v>
      </c>
      <c r="G162" s="121" t="s">
        <v>149</v>
      </c>
      <c r="H162" s="121" t="s">
        <v>436</v>
      </c>
      <c r="I162" s="121" t="s">
        <v>287</v>
      </c>
      <c r="J162" s="123">
        <v>44300</v>
      </c>
      <c r="K162" s="121">
        <v>2021</v>
      </c>
      <c r="L162" s="123">
        <v>44306</v>
      </c>
      <c r="M162" s="124">
        <v>0.27083333333333298</v>
      </c>
      <c r="N162" s="125" t="s">
        <v>746</v>
      </c>
      <c r="O162" s="121" t="s">
        <v>747</v>
      </c>
      <c r="P162" s="125" t="s">
        <v>144</v>
      </c>
      <c r="Q162" s="121" t="s">
        <v>748</v>
      </c>
      <c r="R162" s="126">
        <v>5</v>
      </c>
      <c r="S162" s="125"/>
      <c r="T162" s="125"/>
      <c r="U162" s="128"/>
      <c r="V162" s="129"/>
      <c r="W162" s="130"/>
      <c r="X162" s="128"/>
      <c r="Y162" s="127"/>
    </row>
    <row r="163" spans="1:25" ht="31.5" customHeight="1">
      <c r="A163" s="25">
        <v>162</v>
      </c>
      <c r="B163" s="121" t="s">
        <v>25</v>
      </c>
      <c r="C163" s="121" t="s">
        <v>749</v>
      </c>
      <c r="D163" s="122" t="s">
        <v>750</v>
      </c>
      <c r="E163" s="121" t="s">
        <v>49</v>
      </c>
      <c r="F163" s="121" t="s">
        <v>358</v>
      </c>
      <c r="G163" s="121" t="s">
        <v>244</v>
      </c>
      <c r="H163" s="121" t="s">
        <v>436</v>
      </c>
      <c r="I163" s="121" t="s">
        <v>751</v>
      </c>
      <c r="J163" s="123">
        <v>44323</v>
      </c>
      <c r="K163" s="121">
        <v>2021</v>
      </c>
      <c r="L163" s="123">
        <v>44337</v>
      </c>
      <c r="M163" s="124">
        <v>0.77083333333333304</v>
      </c>
      <c r="N163" s="125" t="s">
        <v>260</v>
      </c>
      <c r="O163" s="121" t="s">
        <v>752</v>
      </c>
      <c r="P163" s="125" t="s">
        <v>144</v>
      </c>
      <c r="Q163" s="121" t="s">
        <v>482</v>
      </c>
      <c r="R163" s="126">
        <v>12</v>
      </c>
      <c r="S163" s="125"/>
      <c r="T163" s="125"/>
      <c r="U163" s="128"/>
      <c r="V163" s="129"/>
      <c r="W163" s="130"/>
      <c r="X163" s="128"/>
      <c r="Y163" s="127"/>
    </row>
    <row r="164" spans="1:25" ht="32.25" customHeight="1">
      <c r="A164" s="25">
        <v>163</v>
      </c>
      <c r="B164" s="121" t="s">
        <v>25</v>
      </c>
      <c r="C164" s="121" t="s">
        <v>753</v>
      </c>
      <c r="D164" s="122" t="s">
        <v>754</v>
      </c>
      <c r="E164" s="121" t="s">
        <v>49</v>
      </c>
      <c r="F164" s="121" t="s">
        <v>148</v>
      </c>
      <c r="G164" s="121" t="s">
        <v>244</v>
      </c>
      <c r="H164" s="121" t="s">
        <v>755</v>
      </c>
      <c r="I164" s="121" t="s">
        <v>427</v>
      </c>
      <c r="J164" s="123">
        <v>44328</v>
      </c>
      <c r="K164" s="121">
        <v>2021</v>
      </c>
      <c r="L164" s="123">
        <v>44333</v>
      </c>
      <c r="M164" s="124">
        <v>0.375</v>
      </c>
      <c r="N164" s="125" t="s">
        <v>376</v>
      </c>
      <c r="O164" s="121" t="s">
        <v>670</v>
      </c>
      <c r="P164" s="125" t="s">
        <v>34</v>
      </c>
      <c r="Q164" s="121" t="s">
        <v>113</v>
      </c>
      <c r="R164" s="126">
        <v>0</v>
      </c>
      <c r="S164" s="125"/>
      <c r="T164" s="125"/>
      <c r="U164" s="128"/>
      <c r="V164" s="129"/>
      <c r="W164" s="130"/>
      <c r="X164" s="128"/>
      <c r="Y164" s="127"/>
    </row>
    <row r="165" spans="1:25" ht="32.25" customHeight="1">
      <c r="A165" s="25">
        <v>164</v>
      </c>
      <c r="B165" s="121" t="s">
        <v>25</v>
      </c>
      <c r="C165" s="121" t="s">
        <v>756</v>
      </c>
      <c r="D165" s="122" t="s">
        <v>740</v>
      </c>
      <c r="E165" s="121" t="s">
        <v>49</v>
      </c>
      <c r="F165" s="121" t="s">
        <v>358</v>
      </c>
      <c r="G165" s="121" t="s">
        <v>244</v>
      </c>
      <c r="H165" s="121" t="s">
        <v>741</v>
      </c>
      <c r="I165" s="121" t="s">
        <v>742</v>
      </c>
      <c r="J165" s="123">
        <v>44328</v>
      </c>
      <c r="K165" s="121">
        <v>2021</v>
      </c>
      <c r="L165" s="123">
        <v>44336</v>
      </c>
      <c r="M165" s="124">
        <v>0.4375</v>
      </c>
      <c r="N165" s="125" t="s">
        <v>64</v>
      </c>
      <c r="O165" s="121" t="s">
        <v>757</v>
      </c>
      <c r="P165" s="125" t="s">
        <v>103</v>
      </c>
      <c r="Q165" s="125" t="s">
        <v>758</v>
      </c>
      <c r="R165" s="126">
        <v>11</v>
      </c>
      <c r="S165" s="125"/>
      <c r="T165" s="125"/>
      <c r="U165" s="128"/>
      <c r="V165" s="129"/>
      <c r="W165" s="130"/>
      <c r="X165" s="128"/>
      <c r="Y165" s="127"/>
    </row>
    <row r="166" spans="1:25" ht="32.25" customHeight="1">
      <c r="A166" s="25">
        <v>165</v>
      </c>
      <c r="B166" s="121" t="s">
        <v>25</v>
      </c>
      <c r="C166" s="121" t="s">
        <v>759</v>
      </c>
      <c r="D166" s="122" t="s">
        <v>760</v>
      </c>
      <c r="E166" s="121" t="s">
        <v>49</v>
      </c>
      <c r="F166" s="121" t="s">
        <v>358</v>
      </c>
      <c r="G166" s="121" t="s">
        <v>244</v>
      </c>
      <c r="H166" s="121" t="s">
        <v>666</v>
      </c>
      <c r="I166" s="121" t="s">
        <v>666</v>
      </c>
      <c r="J166" s="123">
        <v>44320</v>
      </c>
      <c r="K166" s="121">
        <v>2021</v>
      </c>
      <c r="L166" s="123">
        <v>44321</v>
      </c>
      <c r="M166" s="124">
        <v>0.4375</v>
      </c>
      <c r="N166" s="125" t="s">
        <v>64</v>
      </c>
      <c r="O166" s="121" t="s">
        <v>240</v>
      </c>
      <c r="P166" s="125" t="s">
        <v>103</v>
      </c>
      <c r="Q166" s="125" t="s">
        <v>113</v>
      </c>
      <c r="R166" s="126">
        <v>0</v>
      </c>
      <c r="S166" s="125"/>
      <c r="T166" s="125"/>
      <c r="U166" s="128"/>
      <c r="V166" s="129"/>
      <c r="W166" s="130"/>
      <c r="X166" s="128"/>
      <c r="Y166" s="127"/>
    </row>
    <row r="167" spans="1:25" ht="32.25" customHeight="1">
      <c r="A167" s="25">
        <v>166</v>
      </c>
      <c r="B167" s="121" t="s">
        <v>25</v>
      </c>
      <c r="C167" s="121" t="s">
        <v>761</v>
      </c>
      <c r="D167" s="122" t="s">
        <v>762</v>
      </c>
      <c r="E167" s="121" t="s">
        <v>49</v>
      </c>
      <c r="F167" s="121" t="s">
        <v>358</v>
      </c>
      <c r="G167" s="121" t="s">
        <v>50</v>
      </c>
      <c r="H167" s="121" t="s">
        <v>287</v>
      </c>
      <c r="I167" s="121" t="s">
        <v>287</v>
      </c>
      <c r="J167" s="123">
        <v>44099</v>
      </c>
      <c r="K167" s="121">
        <v>2020</v>
      </c>
      <c r="L167" s="123">
        <v>44382</v>
      </c>
      <c r="M167" s="124">
        <v>0.47986111111111102</v>
      </c>
      <c r="N167" s="125" t="s">
        <v>260</v>
      </c>
      <c r="O167" s="121" t="s">
        <v>763</v>
      </c>
      <c r="P167" s="125" t="s">
        <v>764</v>
      </c>
      <c r="Q167" s="125" t="s">
        <v>765</v>
      </c>
      <c r="R167" s="126">
        <v>11</v>
      </c>
      <c r="S167" s="125"/>
      <c r="T167" s="125"/>
      <c r="U167" s="128"/>
      <c r="V167" s="129"/>
      <c r="W167" s="130"/>
      <c r="X167" s="128"/>
      <c r="Y167" s="127"/>
    </row>
    <row r="168" spans="1:25" ht="32.25" customHeight="1">
      <c r="A168" s="25">
        <v>167</v>
      </c>
      <c r="B168" s="121" t="s">
        <v>25</v>
      </c>
      <c r="C168" s="121" t="s">
        <v>766</v>
      </c>
      <c r="D168" s="122" t="s">
        <v>767</v>
      </c>
      <c r="E168" s="121" t="s">
        <v>49</v>
      </c>
      <c r="F168" s="121" t="s">
        <v>358</v>
      </c>
      <c r="G168" s="121" t="s">
        <v>157</v>
      </c>
      <c r="H168" s="121" t="s">
        <v>768</v>
      </c>
      <c r="I168" s="121" t="s">
        <v>511</v>
      </c>
      <c r="J168" s="123">
        <v>44389</v>
      </c>
      <c r="K168" s="121">
        <v>2021</v>
      </c>
      <c r="L168" s="123">
        <v>44398</v>
      </c>
      <c r="M168" s="124">
        <v>0.97916666666666696</v>
      </c>
      <c r="N168" s="125" t="s">
        <v>64</v>
      </c>
      <c r="O168" s="121" t="s">
        <v>240</v>
      </c>
      <c r="P168" s="125" t="s">
        <v>34</v>
      </c>
      <c r="Q168" s="125" t="s">
        <v>113</v>
      </c>
      <c r="R168" s="126">
        <v>0</v>
      </c>
      <c r="S168" s="125"/>
      <c r="T168" s="125"/>
      <c r="U168" s="128"/>
      <c r="V168" s="129"/>
      <c r="W168" s="130"/>
      <c r="X168" s="128"/>
      <c r="Y168" s="127"/>
    </row>
    <row r="169" spans="1:25" ht="32.25" customHeight="1">
      <c r="A169" s="25">
        <v>168</v>
      </c>
      <c r="B169" s="121" t="s">
        <v>25</v>
      </c>
      <c r="C169" s="121" t="s">
        <v>769</v>
      </c>
      <c r="D169" s="122" t="s">
        <v>770</v>
      </c>
      <c r="E169" s="121" t="s">
        <v>49</v>
      </c>
      <c r="F169" s="121" t="s">
        <v>148</v>
      </c>
      <c r="G169" s="121" t="s">
        <v>157</v>
      </c>
      <c r="H169" s="121" t="s">
        <v>771</v>
      </c>
      <c r="I169" s="121" t="s">
        <v>511</v>
      </c>
      <c r="J169" s="123">
        <v>44396</v>
      </c>
      <c r="K169" s="121">
        <v>2021</v>
      </c>
      <c r="L169" s="123">
        <v>44400</v>
      </c>
      <c r="M169" s="124">
        <v>0.77083333333333304</v>
      </c>
      <c r="N169" s="125" t="s">
        <v>354</v>
      </c>
      <c r="O169" s="121" t="s">
        <v>772</v>
      </c>
      <c r="P169" s="125" t="s">
        <v>34</v>
      </c>
      <c r="Q169" s="125" t="s">
        <v>113</v>
      </c>
      <c r="R169" s="126">
        <v>0</v>
      </c>
      <c r="S169" s="125"/>
      <c r="T169" s="125"/>
      <c r="U169" s="128"/>
      <c r="V169" s="129"/>
      <c r="W169" s="130"/>
      <c r="X169" s="128"/>
      <c r="Y169" s="127"/>
    </row>
    <row r="170" spans="1:25" ht="32.25" customHeight="1">
      <c r="A170" s="25">
        <v>169</v>
      </c>
      <c r="B170" s="121" t="s">
        <v>25</v>
      </c>
      <c r="C170" s="121" t="s">
        <v>773</v>
      </c>
      <c r="D170" s="122" t="s">
        <v>774</v>
      </c>
      <c r="E170" s="121" t="s">
        <v>49</v>
      </c>
      <c r="F170" s="121" t="s">
        <v>358</v>
      </c>
      <c r="G170" s="121" t="s">
        <v>157</v>
      </c>
      <c r="H170" s="121" t="s">
        <v>775</v>
      </c>
      <c r="I170" s="121" t="s">
        <v>135</v>
      </c>
      <c r="J170" s="123">
        <v>44400</v>
      </c>
      <c r="K170" s="121">
        <v>2021</v>
      </c>
      <c r="L170" s="123">
        <v>44412</v>
      </c>
      <c r="M170" s="124">
        <v>0.52083333333333304</v>
      </c>
      <c r="N170" s="125" t="s">
        <v>776</v>
      </c>
      <c r="O170" s="125" t="s">
        <v>777</v>
      </c>
      <c r="P170" s="125" t="s">
        <v>34</v>
      </c>
      <c r="Q170" s="125" t="s">
        <v>246</v>
      </c>
      <c r="R170" s="126">
        <v>0</v>
      </c>
      <c r="S170" s="125"/>
      <c r="T170" s="125"/>
      <c r="U170" s="128"/>
      <c r="V170" s="129"/>
      <c r="W170" s="130"/>
      <c r="X170" s="128"/>
      <c r="Y170" s="127"/>
    </row>
    <row r="171" spans="1:25" ht="32.25" customHeight="1">
      <c r="A171" s="25">
        <v>170</v>
      </c>
      <c r="B171" s="121" t="s">
        <v>25</v>
      </c>
      <c r="C171" s="121" t="s">
        <v>778</v>
      </c>
      <c r="D171" s="122" t="s">
        <v>779</v>
      </c>
      <c r="E171" s="121" t="s">
        <v>28</v>
      </c>
      <c r="F171" s="121" t="s">
        <v>358</v>
      </c>
      <c r="G171" s="121" t="s">
        <v>157</v>
      </c>
      <c r="H171" s="121" t="s">
        <v>666</v>
      </c>
      <c r="I171" s="121" t="s">
        <v>666</v>
      </c>
      <c r="J171" s="123">
        <v>44406</v>
      </c>
      <c r="K171" s="121">
        <v>2021</v>
      </c>
      <c r="L171" s="123">
        <v>44411</v>
      </c>
      <c r="M171" s="124">
        <v>0.625</v>
      </c>
      <c r="N171" s="125" t="s">
        <v>181</v>
      </c>
      <c r="O171" s="125" t="s">
        <v>780</v>
      </c>
      <c r="P171" s="125" t="s">
        <v>34</v>
      </c>
      <c r="Q171" s="125" t="s">
        <v>104</v>
      </c>
      <c r="R171" s="126">
        <v>3</v>
      </c>
      <c r="S171" s="125"/>
      <c r="T171" s="125"/>
      <c r="U171" s="128"/>
      <c r="V171" s="129"/>
      <c r="W171" s="130"/>
      <c r="X171" s="128"/>
      <c r="Y171" s="127"/>
    </row>
    <row r="172" spans="1:25" ht="32.25" customHeight="1">
      <c r="A172" s="25">
        <v>171</v>
      </c>
      <c r="B172" s="121" t="s">
        <v>25</v>
      </c>
      <c r="C172" s="121" t="s">
        <v>781</v>
      </c>
      <c r="D172" s="122" t="s">
        <v>782</v>
      </c>
      <c r="E172" s="121" t="s">
        <v>49</v>
      </c>
      <c r="F172" s="121" t="s">
        <v>148</v>
      </c>
      <c r="G172" s="121" t="s">
        <v>30</v>
      </c>
      <c r="H172" s="121" t="s">
        <v>57</v>
      </c>
      <c r="I172" s="121" t="s">
        <v>57</v>
      </c>
      <c r="J172" s="123">
        <v>44418</v>
      </c>
      <c r="K172" s="121">
        <v>2021</v>
      </c>
      <c r="L172" s="123">
        <v>44427</v>
      </c>
      <c r="M172" s="124">
        <v>0.32291666666666702</v>
      </c>
      <c r="N172" s="125" t="s">
        <v>783</v>
      </c>
      <c r="O172" s="125" t="s">
        <v>198</v>
      </c>
      <c r="P172" s="125" t="s">
        <v>34</v>
      </c>
      <c r="Q172" s="125" t="s">
        <v>784</v>
      </c>
      <c r="R172" s="126">
        <v>0</v>
      </c>
      <c r="S172" s="125"/>
      <c r="T172" s="125"/>
      <c r="U172" s="128"/>
      <c r="V172" s="129"/>
      <c r="W172" s="130"/>
      <c r="X172" s="128"/>
      <c r="Y172" s="127"/>
    </row>
    <row r="173" spans="1:25" ht="32.25" customHeight="1">
      <c r="A173" s="25">
        <v>172</v>
      </c>
      <c r="B173" s="121" t="s">
        <v>25</v>
      </c>
      <c r="C173" s="121" t="s">
        <v>785</v>
      </c>
      <c r="D173" s="122" t="s">
        <v>786</v>
      </c>
      <c r="E173" s="121" t="s">
        <v>49</v>
      </c>
      <c r="F173" s="121" t="s">
        <v>358</v>
      </c>
      <c r="G173" s="121" t="s">
        <v>244</v>
      </c>
      <c r="H173" s="121" t="s">
        <v>787</v>
      </c>
      <c r="I173" s="121" t="s">
        <v>787</v>
      </c>
      <c r="J173" s="123">
        <v>44333</v>
      </c>
      <c r="K173" s="121">
        <v>2021</v>
      </c>
      <c r="L173" s="123">
        <v>44427</v>
      </c>
      <c r="M173" s="124">
        <v>0.33333333333333298</v>
      </c>
      <c r="N173" s="125" t="s">
        <v>260</v>
      </c>
      <c r="O173" s="121" t="s">
        <v>763</v>
      </c>
      <c r="P173" s="125" t="s">
        <v>764</v>
      </c>
      <c r="Q173" s="125" t="s">
        <v>765</v>
      </c>
      <c r="R173" s="126">
        <v>14</v>
      </c>
      <c r="S173" s="125"/>
      <c r="T173" s="125"/>
      <c r="U173" s="128"/>
      <c r="V173" s="129"/>
      <c r="W173" s="130"/>
      <c r="X173" s="128"/>
      <c r="Y173" s="127"/>
    </row>
    <row r="174" spans="1:25" ht="32.25" customHeight="1">
      <c r="A174" s="136">
        <v>173</v>
      </c>
      <c r="B174" s="121" t="s">
        <v>25</v>
      </c>
      <c r="C174" s="121" t="s">
        <v>788</v>
      </c>
      <c r="D174" s="122" t="s">
        <v>789</v>
      </c>
      <c r="E174" s="121" t="s">
        <v>49</v>
      </c>
      <c r="F174" s="121" t="s">
        <v>358</v>
      </c>
      <c r="G174" s="121" t="s">
        <v>30</v>
      </c>
      <c r="H174" s="121" t="s">
        <v>57</v>
      </c>
      <c r="I174" s="121" t="s">
        <v>57</v>
      </c>
      <c r="J174" s="123">
        <v>44419</v>
      </c>
      <c r="K174" s="121">
        <v>2021</v>
      </c>
      <c r="L174" s="123">
        <v>44428</v>
      </c>
      <c r="M174" s="124">
        <v>0.41666666666666702</v>
      </c>
      <c r="N174" s="125" t="s">
        <v>790</v>
      </c>
      <c r="O174" s="125" t="s">
        <v>198</v>
      </c>
      <c r="P174" s="125" t="s">
        <v>34</v>
      </c>
      <c r="Q174" s="125" t="s">
        <v>791</v>
      </c>
      <c r="R174" s="126">
        <v>0</v>
      </c>
      <c r="S174" s="125"/>
      <c r="T174" s="125"/>
      <c r="U174" s="128"/>
      <c r="V174" s="129"/>
      <c r="W174" s="130"/>
      <c r="X174" s="128"/>
      <c r="Y174" s="127"/>
    </row>
    <row r="175" spans="1:25" ht="32.25" customHeight="1">
      <c r="A175" s="136">
        <v>174</v>
      </c>
      <c r="B175" s="121" t="s">
        <v>25</v>
      </c>
      <c r="C175" s="121" t="s">
        <v>792</v>
      </c>
      <c r="D175" s="122" t="s">
        <v>793</v>
      </c>
      <c r="E175" s="121" t="s">
        <v>49</v>
      </c>
      <c r="F175" s="121" t="s">
        <v>140</v>
      </c>
      <c r="G175" s="121" t="s">
        <v>149</v>
      </c>
      <c r="H175" s="121" t="s">
        <v>794</v>
      </c>
      <c r="I175" s="121" t="s">
        <v>794</v>
      </c>
      <c r="J175" s="123">
        <v>44306</v>
      </c>
      <c r="K175" s="121">
        <v>2021</v>
      </c>
      <c r="L175" s="123">
        <v>44319</v>
      </c>
      <c r="M175" s="124">
        <v>0.31944444444444398</v>
      </c>
      <c r="N175" s="125" t="s">
        <v>795</v>
      </c>
      <c r="O175" s="121" t="s">
        <v>796</v>
      </c>
      <c r="P175" s="121" t="s">
        <v>797</v>
      </c>
      <c r="Q175" s="125" t="s">
        <v>261</v>
      </c>
      <c r="R175" s="126">
        <v>3</v>
      </c>
      <c r="S175" s="125"/>
      <c r="T175" s="125"/>
      <c r="U175" s="128"/>
      <c r="V175" s="129"/>
      <c r="W175" s="130"/>
      <c r="X175" s="128"/>
      <c r="Y175" s="127"/>
    </row>
    <row r="176" spans="1:25" ht="32.25" customHeight="1">
      <c r="A176" s="136">
        <v>175</v>
      </c>
      <c r="B176" s="121" t="s">
        <v>25</v>
      </c>
      <c r="C176" s="121" t="s">
        <v>798</v>
      </c>
      <c r="D176" s="122" t="s">
        <v>799</v>
      </c>
      <c r="E176" s="121" t="s">
        <v>49</v>
      </c>
      <c r="F176" s="121" t="s">
        <v>358</v>
      </c>
      <c r="G176" s="121" t="s">
        <v>30</v>
      </c>
      <c r="H176" s="121" t="s">
        <v>775</v>
      </c>
      <c r="I176" s="121" t="s">
        <v>135</v>
      </c>
      <c r="J176" s="123">
        <v>44420</v>
      </c>
      <c r="K176" s="121">
        <v>2021</v>
      </c>
      <c r="L176" s="123">
        <v>44427</v>
      </c>
      <c r="M176" s="124">
        <v>0.625</v>
      </c>
      <c r="N176" s="125" t="s">
        <v>64</v>
      </c>
      <c r="O176" s="121" t="s">
        <v>800</v>
      </c>
      <c r="P176" s="125" t="s">
        <v>34</v>
      </c>
      <c r="Q176" s="125" t="s">
        <v>113</v>
      </c>
      <c r="R176" s="126">
        <v>0</v>
      </c>
      <c r="S176" s="125"/>
      <c r="T176" s="125"/>
      <c r="U176" s="128"/>
      <c r="V176" s="129"/>
      <c r="W176" s="130"/>
      <c r="X176" s="128"/>
      <c r="Y176" s="127"/>
    </row>
    <row r="177" spans="1:25" ht="30.75" customHeight="1">
      <c r="A177" s="136">
        <v>176</v>
      </c>
      <c r="B177" s="121" t="s">
        <v>25</v>
      </c>
      <c r="C177" s="121" t="s">
        <v>801</v>
      </c>
      <c r="D177" s="122" t="s">
        <v>802</v>
      </c>
      <c r="E177" s="121" t="s">
        <v>28</v>
      </c>
      <c r="F177" s="121" t="s">
        <v>492</v>
      </c>
      <c r="G177" s="121" t="s">
        <v>30</v>
      </c>
      <c r="H177" s="121" t="s">
        <v>57</v>
      </c>
      <c r="I177" s="121" t="s">
        <v>57</v>
      </c>
      <c r="J177" s="123">
        <v>44398</v>
      </c>
      <c r="K177" s="121">
        <v>2021</v>
      </c>
      <c r="L177" s="123">
        <v>44434</v>
      </c>
      <c r="M177" s="124">
        <v>0.41666666666666702</v>
      </c>
      <c r="N177" s="125" t="s">
        <v>176</v>
      </c>
      <c r="O177" s="125" t="s">
        <v>198</v>
      </c>
      <c r="P177" s="125" t="s">
        <v>34</v>
      </c>
      <c r="Q177" s="125" t="s">
        <v>803</v>
      </c>
      <c r="R177" s="126">
        <v>0</v>
      </c>
      <c r="S177" s="125"/>
      <c r="T177" s="125"/>
      <c r="U177" s="128"/>
      <c r="V177" s="129"/>
      <c r="W177" s="130"/>
      <c r="X177" s="128"/>
      <c r="Y177" s="127"/>
    </row>
    <row r="178" spans="1:25" ht="29.25" customHeight="1">
      <c r="A178" s="136">
        <v>177</v>
      </c>
      <c r="B178" s="121" t="s">
        <v>25</v>
      </c>
      <c r="C178" s="121" t="s">
        <v>804</v>
      </c>
      <c r="D178" s="122" t="s">
        <v>805</v>
      </c>
      <c r="E178" s="121" t="s">
        <v>49</v>
      </c>
      <c r="F178" s="121" t="s">
        <v>358</v>
      </c>
      <c r="G178" s="121" t="s">
        <v>30</v>
      </c>
      <c r="H178" s="121" t="s">
        <v>806</v>
      </c>
      <c r="I178" s="121" t="s">
        <v>806</v>
      </c>
      <c r="J178" s="123">
        <v>44436</v>
      </c>
      <c r="K178" s="121">
        <v>2021</v>
      </c>
      <c r="L178" s="123">
        <v>44439</v>
      </c>
      <c r="M178" s="124">
        <v>0.38888888888888901</v>
      </c>
      <c r="N178" s="125" t="s">
        <v>64</v>
      </c>
      <c r="O178" s="125" t="s">
        <v>240</v>
      </c>
      <c r="P178" s="125" t="s">
        <v>34</v>
      </c>
      <c r="Q178" s="125" t="s">
        <v>113</v>
      </c>
      <c r="R178" s="126">
        <v>0</v>
      </c>
      <c r="S178" s="125"/>
      <c r="T178" s="125"/>
      <c r="U178" s="128"/>
      <c r="V178" s="129"/>
      <c r="W178" s="130"/>
      <c r="X178" s="128"/>
      <c r="Y178" s="127"/>
    </row>
    <row r="179" spans="1:25" ht="48.75" customHeight="1">
      <c r="A179" s="136">
        <v>178</v>
      </c>
      <c r="B179" s="121" t="s">
        <v>25</v>
      </c>
      <c r="C179" s="121" t="s">
        <v>807</v>
      </c>
      <c r="D179" s="122" t="s">
        <v>808</v>
      </c>
      <c r="E179" s="121" t="s">
        <v>49</v>
      </c>
      <c r="F179" s="121" t="s">
        <v>809</v>
      </c>
      <c r="G179" s="121" t="s">
        <v>41</v>
      </c>
      <c r="H179" s="121" t="s">
        <v>810</v>
      </c>
      <c r="I179" s="121" t="s">
        <v>811</v>
      </c>
      <c r="J179" s="123">
        <v>44475</v>
      </c>
      <c r="K179" s="121">
        <v>2021</v>
      </c>
      <c r="L179" s="123">
        <v>44477</v>
      </c>
      <c r="M179" s="124">
        <v>0.27083333333333298</v>
      </c>
      <c r="N179" s="125" t="s">
        <v>812</v>
      </c>
      <c r="O179" s="125" t="s">
        <v>119</v>
      </c>
      <c r="P179" s="125" t="s">
        <v>144</v>
      </c>
      <c r="Q179" s="125" t="s">
        <v>173</v>
      </c>
      <c r="R179" s="126">
        <v>0</v>
      </c>
      <c r="S179" s="125"/>
      <c r="T179" s="125"/>
      <c r="U179" s="128"/>
      <c r="V179" s="129"/>
      <c r="W179" s="130"/>
      <c r="X179" s="128"/>
      <c r="Y179" s="127"/>
    </row>
    <row r="180" spans="1:25" ht="46.5" customHeight="1">
      <c r="A180" s="136">
        <v>179</v>
      </c>
      <c r="B180" s="121" t="s">
        <v>25</v>
      </c>
      <c r="C180" s="121" t="s">
        <v>813</v>
      </c>
      <c r="D180" s="122" t="s">
        <v>814</v>
      </c>
      <c r="E180" s="121" t="s">
        <v>49</v>
      </c>
      <c r="F180" s="121" t="s">
        <v>358</v>
      </c>
      <c r="G180" s="121" t="s">
        <v>41</v>
      </c>
      <c r="H180" s="121" t="s">
        <v>815</v>
      </c>
      <c r="I180" s="121" t="s">
        <v>816</v>
      </c>
      <c r="J180" s="123">
        <v>44479</v>
      </c>
      <c r="K180" s="121">
        <v>2021</v>
      </c>
      <c r="L180" s="123">
        <v>44512</v>
      </c>
      <c r="M180" s="124">
        <v>0.30555555555555602</v>
      </c>
      <c r="N180" s="125" t="s">
        <v>817</v>
      </c>
      <c r="O180" s="125" t="s">
        <v>818</v>
      </c>
      <c r="P180" s="125" t="s">
        <v>34</v>
      </c>
      <c r="Q180" s="125" t="s">
        <v>727</v>
      </c>
      <c r="R180" s="126">
        <v>0</v>
      </c>
      <c r="S180" s="125"/>
      <c r="T180" s="125"/>
      <c r="U180" s="128"/>
      <c r="V180" s="129"/>
      <c r="W180" s="130"/>
      <c r="X180" s="128"/>
      <c r="Y180" s="127"/>
    </row>
    <row r="181" spans="1:25" ht="46.5" customHeight="1">
      <c r="A181" s="136">
        <v>180</v>
      </c>
      <c r="B181" s="121" t="s">
        <v>25</v>
      </c>
      <c r="C181" s="121" t="s">
        <v>819</v>
      </c>
      <c r="D181" s="122" t="s">
        <v>820</v>
      </c>
      <c r="E181" s="121" t="s">
        <v>49</v>
      </c>
      <c r="F181" s="121" t="s">
        <v>358</v>
      </c>
      <c r="G181" s="121" t="s">
        <v>41</v>
      </c>
      <c r="H181" s="121" t="s">
        <v>821</v>
      </c>
      <c r="I181" s="121" t="s">
        <v>822</v>
      </c>
      <c r="J181" s="123">
        <v>44484</v>
      </c>
      <c r="K181" s="121">
        <v>2021</v>
      </c>
      <c r="L181" s="123">
        <v>44516</v>
      </c>
      <c r="M181" s="124">
        <v>0.625</v>
      </c>
      <c r="N181" s="125" t="s">
        <v>823</v>
      </c>
      <c r="O181" s="125" t="s">
        <v>824</v>
      </c>
      <c r="P181" s="125" t="s">
        <v>34</v>
      </c>
      <c r="Q181" s="125" t="s">
        <v>825</v>
      </c>
      <c r="R181" s="126">
        <v>0</v>
      </c>
      <c r="S181" s="125"/>
      <c r="T181" s="125"/>
      <c r="U181" s="128"/>
      <c r="V181" s="129"/>
      <c r="W181" s="130"/>
      <c r="X181" s="128"/>
      <c r="Y181" s="127"/>
    </row>
    <row r="182" spans="1:25" ht="46.5" customHeight="1">
      <c r="A182" s="136">
        <v>181</v>
      </c>
      <c r="B182" s="121" t="s">
        <v>25</v>
      </c>
      <c r="C182" s="121" t="s">
        <v>826</v>
      </c>
      <c r="D182" s="122" t="s">
        <v>111</v>
      </c>
      <c r="E182" s="121" t="s">
        <v>49</v>
      </c>
      <c r="F182" s="121" t="s">
        <v>358</v>
      </c>
      <c r="G182" s="121" t="s">
        <v>56</v>
      </c>
      <c r="H182" s="121" t="s">
        <v>692</v>
      </c>
      <c r="I182" s="121" t="s">
        <v>827</v>
      </c>
      <c r="J182" s="123">
        <v>44510</v>
      </c>
      <c r="K182" s="121">
        <v>2021</v>
      </c>
      <c r="L182" s="123">
        <v>44518</v>
      </c>
      <c r="M182" s="124">
        <v>0.39583333333333298</v>
      </c>
      <c r="N182" s="125" t="s">
        <v>64</v>
      </c>
      <c r="O182" s="125" t="s">
        <v>670</v>
      </c>
      <c r="P182" s="125" t="s">
        <v>34</v>
      </c>
      <c r="Q182" s="125" t="s">
        <v>828</v>
      </c>
      <c r="R182" s="126">
        <v>0</v>
      </c>
      <c r="S182" s="125"/>
      <c r="T182" s="125"/>
      <c r="U182" s="128"/>
      <c r="V182" s="129"/>
      <c r="W182" s="130"/>
      <c r="X182" s="128"/>
      <c r="Y182" s="127"/>
    </row>
    <row r="183" spans="1:25" ht="29.25" customHeight="1">
      <c r="A183" s="136">
        <v>182</v>
      </c>
      <c r="B183" s="121" t="s">
        <v>25</v>
      </c>
      <c r="C183" s="121" t="s">
        <v>829</v>
      </c>
      <c r="D183" s="122" t="s">
        <v>830</v>
      </c>
      <c r="E183" s="121" t="s">
        <v>28</v>
      </c>
      <c r="F183" s="121" t="s">
        <v>492</v>
      </c>
      <c r="G183" s="121" t="s">
        <v>30</v>
      </c>
      <c r="H183" s="121" t="s">
        <v>57</v>
      </c>
      <c r="I183" s="121" t="s">
        <v>57</v>
      </c>
      <c r="J183" s="123">
        <v>44425</v>
      </c>
      <c r="K183" s="121">
        <v>2021</v>
      </c>
      <c r="L183" s="123">
        <v>44470</v>
      </c>
      <c r="M183" s="124">
        <v>0.33333333333333298</v>
      </c>
      <c r="N183" s="125" t="s">
        <v>831</v>
      </c>
      <c r="O183" s="125" t="s">
        <v>198</v>
      </c>
      <c r="P183" s="125" t="s">
        <v>34</v>
      </c>
      <c r="Q183" s="125" t="s">
        <v>832</v>
      </c>
      <c r="R183" s="126">
        <v>0</v>
      </c>
      <c r="S183" s="125"/>
      <c r="T183" s="125"/>
      <c r="U183" s="128"/>
      <c r="V183" s="129"/>
      <c r="W183" s="130"/>
      <c r="X183" s="128"/>
      <c r="Y183" s="127"/>
    </row>
    <row r="184" spans="1:25" ht="42.75" customHeight="1">
      <c r="A184" s="136">
        <v>183</v>
      </c>
      <c r="B184" s="121" t="s">
        <v>25</v>
      </c>
      <c r="C184" s="121" t="s">
        <v>833</v>
      </c>
      <c r="D184" s="122" t="s">
        <v>834</v>
      </c>
      <c r="E184" s="121" t="s">
        <v>49</v>
      </c>
      <c r="F184" s="121" t="s">
        <v>358</v>
      </c>
      <c r="G184" s="121" t="s">
        <v>75</v>
      </c>
      <c r="H184" s="121" t="s">
        <v>835</v>
      </c>
      <c r="I184" s="121" t="s">
        <v>403</v>
      </c>
      <c r="J184" s="123">
        <v>44245</v>
      </c>
      <c r="K184" s="121">
        <v>2021</v>
      </c>
      <c r="L184" s="123">
        <v>44405</v>
      </c>
      <c r="M184" s="124">
        <v>0.83333333333333304</v>
      </c>
      <c r="N184" s="125" t="s">
        <v>101</v>
      </c>
      <c r="O184" s="125" t="s">
        <v>836</v>
      </c>
      <c r="P184" s="125" t="s">
        <v>34</v>
      </c>
      <c r="Q184" s="125" t="s">
        <v>837</v>
      </c>
      <c r="R184" s="126">
        <v>2</v>
      </c>
      <c r="S184" s="125"/>
      <c r="T184" s="125"/>
      <c r="U184" s="128"/>
      <c r="V184" s="129"/>
      <c r="W184" s="130"/>
      <c r="X184" s="128"/>
      <c r="Y184" s="127"/>
    </row>
    <row r="185" spans="1:25" ht="42.75" customHeight="1">
      <c r="A185" s="136">
        <v>184</v>
      </c>
      <c r="B185" s="121" t="s">
        <v>25</v>
      </c>
      <c r="C185" s="121" t="s">
        <v>838</v>
      </c>
      <c r="D185" s="122" t="s">
        <v>839</v>
      </c>
      <c r="E185" s="121" t="s">
        <v>49</v>
      </c>
      <c r="F185" s="121" t="s">
        <v>358</v>
      </c>
      <c r="G185" s="121" t="s">
        <v>41</v>
      </c>
      <c r="H185" s="121" t="s">
        <v>840</v>
      </c>
      <c r="I185" s="121" t="s">
        <v>841</v>
      </c>
      <c r="J185" s="123">
        <v>44470</v>
      </c>
      <c r="K185" s="121">
        <v>2021</v>
      </c>
      <c r="L185" s="123">
        <v>44477</v>
      </c>
      <c r="M185" s="124">
        <v>0.6875</v>
      </c>
      <c r="N185" s="125" t="s">
        <v>101</v>
      </c>
      <c r="O185" s="125" t="s">
        <v>119</v>
      </c>
      <c r="P185" s="125" t="s">
        <v>103</v>
      </c>
      <c r="Q185" s="125" t="s">
        <v>842</v>
      </c>
      <c r="R185" s="126">
        <v>0</v>
      </c>
      <c r="S185" s="125" t="s">
        <v>36</v>
      </c>
      <c r="T185" s="125"/>
      <c r="U185" s="128"/>
      <c r="V185" s="129"/>
      <c r="W185" s="130"/>
      <c r="X185" s="128"/>
      <c r="Y185" s="127"/>
    </row>
    <row r="186" spans="1:25" ht="42.75" customHeight="1">
      <c r="A186" s="136">
        <v>185</v>
      </c>
      <c r="B186" s="121" t="s">
        <v>25</v>
      </c>
      <c r="C186" s="121" t="s">
        <v>843</v>
      </c>
      <c r="D186" s="122" t="s">
        <v>844</v>
      </c>
      <c r="E186" s="121" t="s">
        <v>28</v>
      </c>
      <c r="F186" s="121" t="s">
        <v>492</v>
      </c>
      <c r="G186" s="121" t="s">
        <v>56</v>
      </c>
      <c r="H186" s="121" t="s">
        <v>511</v>
      </c>
      <c r="I186" s="121" t="s">
        <v>845</v>
      </c>
      <c r="J186" s="123">
        <v>44529</v>
      </c>
      <c r="K186" s="121">
        <v>2021</v>
      </c>
      <c r="L186" s="123">
        <v>44530</v>
      </c>
      <c r="M186" s="124">
        <v>0.35416666666666702</v>
      </c>
      <c r="N186" s="125" t="s">
        <v>846</v>
      </c>
      <c r="O186" s="125" t="s">
        <v>847</v>
      </c>
      <c r="P186" s="125" t="s">
        <v>34</v>
      </c>
      <c r="Q186" s="125" t="s">
        <v>848</v>
      </c>
      <c r="R186" s="126">
        <v>0</v>
      </c>
      <c r="S186" s="125" t="s">
        <v>36</v>
      </c>
      <c r="T186" s="125"/>
      <c r="U186" s="128"/>
      <c r="V186" s="129"/>
      <c r="W186" s="130"/>
      <c r="X186" s="128"/>
      <c r="Y186" s="127"/>
    </row>
    <row r="187" spans="1:25" ht="42.75" customHeight="1">
      <c r="A187" s="136">
        <v>186</v>
      </c>
      <c r="B187" s="121" t="s">
        <v>25</v>
      </c>
      <c r="C187" s="121" t="s">
        <v>849</v>
      </c>
      <c r="D187" s="122" t="s">
        <v>850</v>
      </c>
      <c r="E187" s="121" t="s">
        <v>49</v>
      </c>
      <c r="F187" s="121" t="s">
        <v>851</v>
      </c>
      <c r="G187" s="121" t="s">
        <v>41</v>
      </c>
      <c r="H187" s="121" t="s">
        <v>51</v>
      </c>
      <c r="I187" s="121" t="s">
        <v>852</v>
      </c>
      <c r="J187" s="123">
        <v>44498</v>
      </c>
      <c r="K187" s="121">
        <v>2021</v>
      </c>
      <c r="L187" s="123">
        <v>44547</v>
      </c>
      <c r="M187" s="124">
        <v>0.75</v>
      </c>
      <c r="N187" s="125" t="s">
        <v>853</v>
      </c>
      <c r="O187" s="125" t="s">
        <v>240</v>
      </c>
      <c r="P187" s="125" t="s">
        <v>34</v>
      </c>
      <c r="Q187" s="125" t="s">
        <v>113</v>
      </c>
      <c r="R187" s="126">
        <v>0</v>
      </c>
      <c r="S187" s="125" t="s">
        <v>36</v>
      </c>
      <c r="T187" s="125"/>
      <c r="U187" s="128"/>
      <c r="V187" s="129"/>
      <c r="W187" s="130"/>
      <c r="X187" s="128"/>
      <c r="Y187" s="127"/>
    </row>
    <row r="188" spans="1:25" ht="42.75" customHeight="1">
      <c r="A188" s="136">
        <v>187</v>
      </c>
      <c r="B188" s="121" t="s">
        <v>25</v>
      </c>
      <c r="C188" s="121" t="s">
        <v>854</v>
      </c>
      <c r="D188" s="122" t="s">
        <v>855</v>
      </c>
      <c r="E188" s="121" t="s">
        <v>28</v>
      </c>
      <c r="F188" s="121" t="s">
        <v>856</v>
      </c>
      <c r="G188" s="121" t="s">
        <v>70</v>
      </c>
      <c r="H188" s="121" t="s">
        <v>76</v>
      </c>
      <c r="I188" s="121" t="s">
        <v>76</v>
      </c>
      <c r="J188" s="123">
        <v>44536</v>
      </c>
      <c r="K188" s="121">
        <v>2021</v>
      </c>
      <c r="L188" s="123">
        <v>44553</v>
      </c>
      <c r="M188" s="124">
        <v>0.25</v>
      </c>
      <c r="N188" s="125" t="s">
        <v>853</v>
      </c>
      <c r="O188" s="125" t="s">
        <v>240</v>
      </c>
      <c r="P188" s="125" t="s">
        <v>34</v>
      </c>
      <c r="Q188" s="125" t="s">
        <v>35</v>
      </c>
      <c r="R188" s="126">
        <v>0</v>
      </c>
      <c r="S188" s="125" t="s">
        <v>36</v>
      </c>
      <c r="T188" s="125"/>
      <c r="U188" s="128"/>
      <c r="V188" s="129"/>
      <c r="W188" s="130"/>
      <c r="X188" s="128"/>
      <c r="Y188" s="127"/>
    </row>
    <row r="189" spans="1:25" ht="42.75" customHeight="1">
      <c r="A189" s="136">
        <v>188</v>
      </c>
      <c r="B189" s="121" t="s">
        <v>25</v>
      </c>
      <c r="C189" s="121" t="s">
        <v>857</v>
      </c>
      <c r="D189" s="122" t="s">
        <v>858</v>
      </c>
      <c r="E189" s="121" t="s">
        <v>49</v>
      </c>
      <c r="F189" s="121" t="s">
        <v>148</v>
      </c>
      <c r="G189" s="121" t="s">
        <v>70</v>
      </c>
      <c r="H189" s="121" t="s">
        <v>859</v>
      </c>
      <c r="I189" s="121" t="s">
        <v>511</v>
      </c>
      <c r="J189" s="123">
        <v>44545</v>
      </c>
      <c r="K189" s="121">
        <v>2021</v>
      </c>
      <c r="L189" s="123">
        <v>44551</v>
      </c>
      <c r="M189" s="124">
        <v>0.45138888888888901</v>
      </c>
      <c r="N189" s="125" t="s">
        <v>817</v>
      </c>
      <c r="O189" s="125" t="s">
        <v>860</v>
      </c>
      <c r="P189" s="125" t="s">
        <v>34</v>
      </c>
      <c r="Q189" s="125" t="s">
        <v>861</v>
      </c>
      <c r="R189" s="126">
        <v>0</v>
      </c>
      <c r="S189" s="125" t="s">
        <v>36</v>
      </c>
      <c r="T189" s="125"/>
      <c r="U189" s="128"/>
      <c r="V189" s="129"/>
      <c r="W189" s="130"/>
      <c r="X189" s="128"/>
      <c r="Y189" s="127"/>
    </row>
    <row r="190" spans="1:25" ht="42.75" customHeight="1">
      <c r="A190" s="136">
        <v>189</v>
      </c>
      <c r="B190" s="121" t="s">
        <v>25</v>
      </c>
      <c r="C190" s="121" t="s">
        <v>862</v>
      </c>
      <c r="D190" s="122" t="s">
        <v>830</v>
      </c>
      <c r="E190" s="121" t="s">
        <v>28</v>
      </c>
      <c r="F190" s="121" t="s">
        <v>492</v>
      </c>
      <c r="G190" s="121" t="s">
        <v>56</v>
      </c>
      <c r="H190" s="121" t="s">
        <v>57</v>
      </c>
      <c r="I190" s="121" t="s">
        <v>57</v>
      </c>
      <c r="J190" s="123">
        <v>44524</v>
      </c>
      <c r="K190" s="121">
        <v>2021</v>
      </c>
      <c r="L190" s="123">
        <v>44545</v>
      </c>
      <c r="M190" s="124">
        <v>0.43055555555555602</v>
      </c>
      <c r="N190" s="125" t="s">
        <v>863</v>
      </c>
      <c r="O190" s="125" t="s">
        <v>198</v>
      </c>
      <c r="P190" s="125" t="s">
        <v>34</v>
      </c>
      <c r="Q190" s="125" t="s">
        <v>864</v>
      </c>
      <c r="R190" s="126">
        <v>0</v>
      </c>
      <c r="S190" s="125" t="s">
        <v>36</v>
      </c>
      <c r="T190" s="125"/>
      <c r="U190" s="128"/>
      <c r="V190" s="129"/>
      <c r="W190" s="130"/>
      <c r="X190" s="128"/>
      <c r="Y190" s="127"/>
    </row>
    <row r="191" spans="1:25" ht="42.75" customHeight="1">
      <c r="A191" s="136">
        <v>190</v>
      </c>
      <c r="B191" s="121" t="s">
        <v>25</v>
      </c>
      <c r="C191" s="121" t="s">
        <v>865</v>
      </c>
      <c r="D191" s="122" t="s">
        <v>866</v>
      </c>
      <c r="E191" s="121" t="s">
        <v>49</v>
      </c>
      <c r="F191" s="121" t="s">
        <v>358</v>
      </c>
      <c r="G191" s="121" t="s">
        <v>70</v>
      </c>
      <c r="H191" s="121" t="s">
        <v>511</v>
      </c>
      <c r="I191" s="121" t="s">
        <v>511</v>
      </c>
      <c r="J191" s="123">
        <v>44559</v>
      </c>
      <c r="K191" s="121">
        <v>2021</v>
      </c>
      <c r="L191" s="123">
        <v>44572</v>
      </c>
      <c r="M191" s="124">
        <v>0.4375</v>
      </c>
      <c r="N191" s="125" t="s">
        <v>867</v>
      </c>
      <c r="O191" s="125" t="s">
        <v>868</v>
      </c>
      <c r="P191" s="125" t="s">
        <v>34</v>
      </c>
      <c r="Q191" s="125" t="s">
        <v>113</v>
      </c>
      <c r="R191" s="126">
        <v>0</v>
      </c>
      <c r="S191" s="125" t="s">
        <v>36</v>
      </c>
      <c r="T191" s="125"/>
      <c r="U191" s="128"/>
      <c r="V191" s="129"/>
      <c r="W191" s="130"/>
      <c r="X191" s="128"/>
      <c r="Y191" s="127"/>
    </row>
    <row r="192" spans="1:25" ht="42.75" customHeight="1">
      <c r="A192" s="137">
        <v>191</v>
      </c>
      <c r="B192" s="137" t="s">
        <v>25</v>
      </c>
      <c r="C192" s="137" t="s">
        <v>869</v>
      </c>
      <c r="D192" s="138" t="s">
        <v>562</v>
      </c>
      <c r="E192" s="137" t="s">
        <v>49</v>
      </c>
      <c r="F192" s="137" t="s">
        <v>358</v>
      </c>
      <c r="G192" s="137" t="s">
        <v>75</v>
      </c>
      <c r="H192" s="137" t="s">
        <v>511</v>
      </c>
      <c r="I192" s="137" t="s">
        <v>511</v>
      </c>
      <c r="J192" s="139">
        <v>44595</v>
      </c>
      <c r="K192" s="137">
        <v>2022</v>
      </c>
      <c r="L192" s="139">
        <v>44615</v>
      </c>
      <c r="M192" s="140">
        <v>0.75</v>
      </c>
      <c r="N192" s="141" t="s">
        <v>870</v>
      </c>
      <c r="O192" s="141" t="s">
        <v>871</v>
      </c>
      <c r="P192" s="141" t="s">
        <v>34</v>
      </c>
      <c r="Q192" s="141" t="s">
        <v>35</v>
      </c>
      <c r="R192" s="142">
        <v>0</v>
      </c>
      <c r="S192" s="141" t="s">
        <v>36</v>
      </c>
      <c r="T192" s="141"/>
      <c r="U192" s="143"/>
      <c r="V192" s="144"/>
      <c r="W192" s="145"/>
      <c r="X192" s="143"/>
      <c r="Y192" s="146"/>
    </row>
    <row r="193" spans="1:25" ht="59.25" customHeight="1">
      <c r="A193" s="137">
        <v>192</v>
      </c>
      <c r="B193" s="137" t="s">
        <v>25</v>
      </c>
      <c r="C193" s="137" t="s">
        <v>872</v>
      </c>
      <c r="D193" s="138" t="s">
        <v>319</v>
      </c>
      <c r="E193" s="137" t="s">
        <v>49</v>
      </c>
      <c r="F193" s="137" t="s">
        <v>358</v>
      </c>
      <c r="G193" s="137" t="s">
        <v>134</v>
      </c>
      <c r="H193" s="137" t="s">
        <v>511</v>
      </c>
      <c r="I193" s="137" t="s">
        <v>511</v>
      </c>
      <c r="J193" s="139">
        <v>44649</v>
      </c>
      <c r="K193" s="137">
        <v>2022</v>
      </c>
      <c r="L193" s="139">
        <v>44645</v>
      </c>
      <c r="M193" s="140">
        <v>0.69166666666666698</v>
      </c>
      <c r="N193" s="141" t="s">
        <v>735</v>
      </c>
      <c r="O193" s="141" t="s">
        <v>873</v>
      </c>
      <c r="P193" s="141" t="s">
        <v>34</v>
      </c>
      <c r="Q193" s="141" t="s">
        <v>874</v>
      </c>
      <c r="R193" s="142">
        <v>0</v>
      </c>
      <c r="S193" s="141" t="s">
        <v>36</v>
      </c>
      <c r="T193" s="141"/>
      <c r="U193" s="143"/>
      <c r="V193" s="144"/>
      <c r="W193" s="145"/>
      <c r="X193" s="143"/>
      <c r="Y193" s="147" t="s">
        <v>875</v>
      </c>
    </row>
    <row r="194" spans="1:25" ht="45" customHeight="1">
      <c r="A194" s="137">
        <v>193</v>
      </c>
      <c r="B194" s="137" t="s">
        <v>25</v>
      </c>
      <c r="C194" s="137" t="s">
        <v>876</v>
      </c>
      <c r="D194" s="138" t="s">
        <v>877</v>
      </c>
      <c r="E194" s="137" t="s">
        <v>49</v>
      </c>
      <c r="F194" s="137" t="s">
        <v>148</v>
      </c>
      <c r="G194" s="137" t="s">
        <v>244</v>
      </c>
      <c r="H194" s="137" t="s">
        <v>511</v>
      </c>
      <c r="I194" s="137" t="s">
        <v>511</v>
      </c>
      <c r="J194" s="139">
        <v>44690</v>
      </c>
      <c r="K194" s="137">
        <v>2022</v>
      </c>
      <c r="L194" s="139">
        <v>44690</v>
      </c>
      <c r="M194" s="140">
        <v>0.46875</v>
      </c>
      <c r="N194" s="141" t="s">
        <v>136</v>
      </c>
      <c r="O194" s="141" t="s">
        <v>868</v>
      </c>
      <c r="P194" s="141" t="s">
        <v>34</v>
      </c>
      <c r="Q194" s="141" t="s">
        <v>66</v>
      </c>
      <c r="R194" s="142">
        <v>1</v>
      </c>
      <c r="S194" s="141" t="s">
        <v>36</v>
      </c>
      <c r="T194" s="141"/>
      <c r="U194" s="143"/>
      <c r="V194" s="144"/>
      <c r="W194" s="145"/>
      <c r="X194" s="143"/>
      <c r="Y194" s="146"/>
    </row>
    <row r="195" spans="1:25" ht="45" customHeight="1">
      <c r="A195" s="137">
        <v>194</v>
      </c>
      <c r="B195" s="137" t="s">
        <v>25</v>
      </c>
      <c r="C195" s="137" t="s">
        <v>878</v>
      </c>
      <c r="D195" s="138" t="s">
        <v>879</v>
      </c>
      <c r="E195" s="137" t="s">
        <v>49</v>
      </c>
      <c r="F195" s="137" t="s">
        <v>358</v>
      </c>
      <c r="G195" s="137" t="s">
        <v>244</v>
      </c>
      <c r="H195" s="137" t="s">
        <v>644</v>
      </c>
      <c r="I195" s="137" t="s">
        <v>644</v>
      </c>
      <c r="J195" s="139">
        <v>44692</v>
      </c>
      <c r="K195" s="137">
        <v>2022</v>
      </c>
      <c r="L195" s="139">
        <v>44694</v>
      </c>
      <c r="M195" s="140">
        <v>0.9375</v>
      </c>
      <c r="N195" s="141" t="s">
        <v>880</v>
      </c>
      <c r="O195" s="141" t="s">
        <v>881</v>
      </c>
      <c r="P195" s="141" t="s">
        <v>34</v>
      </c>
      <c r="Q195" s="141" t="s">
        <v>791</v>
      </c>
      <c r="R195" s="142">
        <v>5</v>
      </c>
      <c r="S195" s="141" t="s">
        <v>36</v>
      </c>
      <c r="T195" s="141"/>
      <c r="U195" s="143"/>
      <c r="V195" s="144"/>
      <c r="W195" s="145"/>
      <c r="X195" s="143"/>
      <c r="Y195" s="146"/>
    </row>
    <row r="196" spans="1:25" ht="45.75" customHeight="1">
      <c r="A196" s="137">
        <v>195</v>
      </c>
      <c r="B196" s="137" t="s">
        <v>25</v>
      </c>
      <c r="C196" s="137" t="s">
        <v>882</v>
      </c>
      <c r="D196" s="138" t="s">
        <v>883</v>
      </c>
      <c r="E196" s="137" t="s">
        <v>49</v>
      </c>
      <c r="F196" s="137" t="s">
        <v>148</v>
      </c>
      <c r="G196" s="137" t="s">
        <v>244</v>
      </c>
      <c r="H196" s="137" t="s">
        <v>511</v>
      </c>
      <c r="I196" s="137" t="s">
        <v>511</v>
      </c>
      <c r="J196" s="139">
        <v>44699</v>
      </c>
      <c r="K196" s="137">
        <v>2022</v>
      </c>
      <c r="L196" s="139">
        <v>44700</v>
      </c>
      <c r="M196" s="140">
        <v>0.40972222222222199</v>
      </c>
      <c r="N196" s="141" t="s">
        <v>616</v>
      </c>
      <c r="O196" s="141" t="s">
        <v>860</v>
      </c>
      <c r="P196" s="141" t="s">
        <v>34</v>
      </c>
      <c r="Q196" s="141" t="s">
        <v>884</v>
      </c>
      <c r="R196" s="142">
        <v>0</v>
      </c>
      <c r="S196" s="141" t="s">
        <v>36</v>
      </c>
      <c r="T196" s="141"/>
      <c r="U196" s="143"/>
      <c r="V196" s="144"/>
      <c r="W196" s="145"/>
      <c r="X196" s="143"/>
      <c r="Y196" s="146"/>
    </row>
    <row r="197" spans="1:25" ht="45.75" customHeight="1">
      <c r="A197" s="137">
        <v>196</v>
      </c>
      <c r="B197" s="137" t="s">
        <v>25</v>
      </c>
      <c r="C197" s="137" t="s">
        <v>885</v>
      </c>
      <c r="D197" s="138" t="s">
        <v>886</v>
      </c>
      <c r="E197" s="137" t="s">
        <v>49</v>
      </c>
      <c r="F197" s="137" t="s">
        <v>887</v>
      </c>
      <c r="G197" s="137" t="s">
        <v>82</v>
      </c>
      <c r="H197" s="137" t="s">
        <v>888</v>
      </c>
      <c r="I197" s="137" t="s">
        <v>889</v>
      </c>
      <c r="J197" s="139">
        <v>44718</v>
      </c>
      <c r="K197" s="137">
        <v>2022</v>
      </c>
      <c r="L197" s="139">
        <v>44721</v>
      </c>
      <c r="M197" s="140">
        <v>0.48958333333333298</v>
      </c>
      <c r="N197" s="141" t="s">
        <v>890</v>
      </c>
      <c r="O197" s="141" t="s">
        <v>577</v>
      </c>
      <c r="P197" s="141" t="s">
        <v>34</v>
      </c>
      <c r="Q197" s="141" t="s">
        <v>628</v>
      </c>
      <c r="R197" s="142">
        <v>7</v>
      </c>
      <c r="S197" s="141" t="s">
        <v>36</v>
      </c>
      <c r="T197" s="141"/>
      <c r="U197" s="143"/>
      <c r="V197" s="144"/>
      <c r="W197" s="145"/>
      <c r="X197" s="143"/>
      <c r="Y197" s="146"/>
    </row>
    <row r="198" spans="1:25" ht="45.75" customHeight="1">
      <c r="A198" s="137">
        <v>197</v>
      </c>
      <c r="B198" s="137" t="s">
        <v>25</v>
      </c>
      <c r="C198" s="137" t="s">
        <v>891</v>
      </c>
      <c r="D198" s="138" t="s">
        <v>536</v>
      </c>
      <c r="E198" s="137" t="s">
        <v>49</v>
      </c>
      <c r="F198" s="137" t="s">
        <v>358</v>
      </c>
      <c r="G198" s="137" t="s">
        <v>82</v>
      </c>
      <c r="H198" s="137" t="s">
        <v>403</v>
      </c>
      <c r="I198" s="137" t="s">
        <v>403</v>
      </c>
      <c r="J198" s="139">
        <v>44725</v>
      </c>
      <c r="K198" s="137">
        <v>2022</v>
      </c>
      <c r="L198" s="139">
        <v>44725</v>
      </c>
      <c r="M198" s="140">
        <v>0.61458333333333304</v>
      </c>
      <c r="N198" s="141" t="s">
        <v>892</v>
      </c>
      <c r="O198" s="141" t="s">
        <v>893</v>
      </c>
      <c r="P198" s="141" t="s">
        <v>34</v>
      </c>
      <c r="Q198" s="141" t="s">
        <v>35</v>
      </c>
      <c r="R198" s="142">
        <v>0</v>
      </c>
      <c r="S198" s="141" t="s">
        <v>36</v>
      </c>
      <c r="T198" s="141"/>
      <c r="U198" s="143"/>
      <c r="V198" s="144"/>
      <c r="W198" s="145"/>
      <c r="X198" s="143"/>
      <c r="Y198" s="146"/>
    </row>
    <row r="199" spans="1:25" ht="45.75" customHeight="1">
      <c r="A199" s="137">
        <v>198</v>
      </c>
      <c r="B199" s="137" t="s">
        <v>25</v>
      </c>
      <c r="C199" s="137" t="s">
        <v>894</v>
      </c>
      <c r="D199" s="138" t="s">
        <v>895</v>
      </c>
      <c r="E199" s="137" t="s">
        <v>49</v>
      </c>
      <c r="F199" s="137" t="s">
        <v>148</v>
      </c>
      <c r="G199" s="137" t="s">
        <v>82</v>
      </c>
      <c r="H199" s="137" t="s">
        <v>896</v>
      </c>
      <c r="I199" s="137" t="s">
        <v>896</v>
      </c>
      <c r="J199" s="139">
        <v>44739</v>
      </c>
      <c r="K199" s="137">
        <v>2022</v>
      </c>
      <c r="L199" s="139">
        <v>44739</v>
      </c>
      <c r="M199" s="140">
        <v>0.68055555555555503</v>
      </c>
      <c r="N199" s="141" t="s">
        <v>897</v>
      </c>
      <c r="O199" s="141" t="s">
        <v>893</v>
      </c>
      <c r="P199" s="141" t="s">
        <v>34</v>
      </c>
      <c r="Q199" s="141" t="s">
        <v>35</v>
      </c>
      <c r="R199" s="142">
        <v>0</v>
      </c>
      <c r="S199" s="141" t="s">
        <v>36</v>
      </c>
      <c r="T199" s="141"/>
      <c r="U199" s="143"/>
      <c r="V199" s="144"/>
      <c r="W199" s="145"/>
      <c r="X199" s="143"/>
      <c r="Y199" s="146"/>
    </row>
    <row r="200" spans="1:25" ht="42" customHeight="1">
      <c r="A200" s="137">
        <v>199</v>
      </c>
      <c r="B200" s="137" t="s">
        <v>25</v>
      </c>
      <c r="C200" s="137" t="s">
        <v>898</v>
      </c>
      <c r="D200" s="138" t="s">
        <v>899</v>
      </c>
      <c r="E200" s="137" t="s">
        <v>49</v>
      </c>
      <c r="F200" s="137" t="s">
        <v>358</v>
      </c>
      <c r="G200" s="137" t="s">
        <v>157</v>
      </c>
      <c r="H200" s="137" t="s">
        <v>900</v>
      </c>
      <c r="I200" s="137" t="s">
        <v>900</v>
      </c>
      <c r="J200" s="139">
        <v>44756</v>
      </c>
      <c r="K200" s="137">
        <v>2022</v>
      </c>
      <c r="L200" s="139">
        <v>44760</v>
      </c>
      <c r="M200" s="140">
        <v>0.77083333333333304</v>
      </c>
      <c r="N200" s="141" t="s">
        <v>901</v>
      </c>
      <c r="O200" s="141" t="s">
        <v>902</v>
      </c>
      <c r="P200" s="141" t="s">
        <v>34</v>
      </c>
      <c r="Q200" s="141" t="s">
        <v>113</v>
      </c>
      <c r="R200" s="142">
        <v>0</v>
      </c>
      <c r="S200" s="141" t="s">
        <v>36</v>
      </c>
      <c r="T200" s="141"/>
      <c r="U200" s="143"/>
      <c r="V200" s="144"/>
      <c r="W200" s="145"/>
      <c r="X200" s="143"/>
      <c r="Y200" s="146"/>
    </row>
    <row r="201" spans="1:25" ht="42" customHeight="1">
      <c r="A201" s="137">
        <v>200</v>
      </c>
      <c r="B201" s="137" t="s">
        <v>25</v>
      </c>
      <c r="C201" s="137" t="s">
        <v>903</v>
      </c>
      <c r="D201" s="138" t="s">
        <v>904</v>
      </c>
      <c r="E201" s="137" t="s">
        <v>49</v>
      </c>
      <c r="F201" s="137" t="s">
        <v>358</v>
      </c>
      <c r="G201" s="137" t="s">
        <v>157</v>
      </c>
      <c r="H201" s="137" t="s">
        <v>905</v>
      </c>
      <c r="I201" s="137" t="s">
        <v>905</v>
      </c>
      <c r="J201" s="139">
        <v>44749</v>
      </c>
      <c r="K201" s="137">
        <v>2022</v>
      </c>
      <c r="L201" s="139">
        <v>44761</v>
      </c>
      <c r="M201" s="140">
        <v>0.35416666666666702</v>
      </c>
      <c r="N201" s="141" t="s">
        <v>812</v>
      </c>
      <c r="O201" s="141" t="s">
        <v>906</v>
      </c>
      <c r="P201" s="141" t="s">
        <v>34</v>
      </c>
      <c r="Q201" s="141" t="s">
        <v>173</v>
      </c>
      <c r="R201" s="142">
        <v>14</v>
      </c>
      <c r="S201" s="141" t="s">
        <v>36</v>
      </c>
      <c r="T201" s="141"/>
      <c r="U201" s="143"/>
      <c r="V201" s="144"/>
      <c r="W201" s="145"/>
      <c r="X201" s="143"/>
      <c r="Y201" s="146"/>
    </row>
    <row r="202" spans="1:25" ht="42" customHeight="1">
      <c r="A202" s="137">
        <v>201</v>
      </c>
      <c r="B202" s="137" t="s">
        <v>25</v>
      </c>
      <c r="C202" s="137" t="s">
        <v>907</v>
      </c>
      <c r="D202" s="138" t="s">
        <v>908</v>
      </c>
      <c r="E202" s="137" t="s">
        <v>49</v>
      </c>
      <c r="F202" s="137" t="s">
        <v>358</v>
      </c>
      <c r="G202" s="137" t="s">
        <v>30</v>
      </c>
      <c r="H202" s="137" t="s">
        <v>909</v>
      </c>
      <c r="I202" s="137" t="s">
        <v>905</v>
      </c>
      <c r="J202" s="139">
        <v>44778</v>
      </c>
      <c r="K202" s="137">
        <v>2022</v>
      </c>
      <c r="L202" s="139">
        <v>44781</v>
      </c>
      <c r="M202" s="140">
        <v>0.375</v>
      </c>
      <c r="N202" s="141" t="s">
        <v>32</v>
      </c>
      <c r="O202" s="141" t="s">
        <v>910</v>
      </c>
      <c r="P202" s="141" t="s">
        <v>34</v>
      </c>
      <c r="Q202" s="141" t="s">
        <v>35</v>
      </c>
      <c r="R202" s="142">
        <v>0</v>
      </c>
      <c r="S202" s="141" t="s">
        <v>36</v>
      </c>
      <c r="T202" s="141"/>
      <c r="U202" s="143"/>
      <c r="V202" s="144"/>
      <c r="W202" s="145"/>
      <c r="X202" s="143"/>
      <c r="Y202" s="146"/>
    </row>
    <row r="203" spans="1:25" ht="42" customHeight="1">
      <c r="A203" s="137">
        <v>202</v>
      </c>
      <c r="B203" s="137" t="s">
        <v>25</v>
      </c>
      <c r="C203" s="137" t="s">
        <v>911</v>
      </c>
      <c r="D203" s="138" t="s">
        <v>912</v>
      </c>
      <c r="E203" s="137" t="s">
        <v>28</v>
      </c>
      <c r="F203" s="137" t="s">
        <v>348</v>
      </c>
      <c r="G203" s="137" t="s">
        <v>30</v>
      </c>
      <c r="H203" s="137" t="s">
        <v>57</v>
      </c>
      <c r="I203" s="137" t="s">
        <v>320</v>
      </c>
      <c r="J203" s="139">
        <v>44781</v>
      </c>
      <c r="K203" s="137">
        <v>2022</v>
      </c>
      <c r="L203" s="139">
        <v>44810</v>
      </c>
      <c r="M203" s="140">
        <v>0.27083333333333298</v>
      </c>
      <c r="N203" s="141" t="s">
        <v>913</v>
      </c>
      <c r="O203" s="141" t="s">
        <v>53</v>
      </c>
      <c r="P203" s="141" t="s">
        <v>144</v>
      </c>
      <c r="Q203" s="141" t="s">
        <v>914</v>
      </c>
      <c r="R203" s="142">
        <v>44</v>
      </c>
      <c r="S203" s="141" t="s">
        <v>36</v>
      </c>
      <c r="T203" s="141"/>
      <c r="U203" s="143"/>
      <c r="V203" s="144"/>
      <c r="W203" s="145"/>
      <c r="X203" s="143"/>
      <c r="Y203" s="146"/>
    </row>
    <row r="204" spans="1:25" ht="42" customHeight="1">
      <c r="A204" s="137">
        <v>203</v>
      </c>
      <c r="B204" s="137" t="s">
        <v>25</v>
      </c>
      <c r="C204" s="137" t="s">
        <v>915</v>
      </c>
      <c r="D204" s="138" t="s">
        <v>916</v>
      </c>
      <c r="E204" s="137" t="s">
        <v>49</v>
      </c>
      <c r="F204" s="137" t="s">
        <v>358</v>
      </c>
      <c r="G204" s="137" t="s">
        <v>157</v>
      </c>
      <c r="H204" s="137" t="s">
        <v>511</v>
      </c>
      <c r="I204" s="137" t="s">
        <v>905</v>
      </c>
      <c r="J204" s="139">
        <v>44773</v>
      </c>
      <c r="K204" s="137">
        <v>2022</v>
      </c>
      <c r="L204" s="139">
        <v>44790</v>
      </c>
      <c r="M204" s="140">
        <v>0.91666666666666696</v>
      </c>
      <c r="N204" s="141" t="s">
        <v>917</v>
      </c>
      <c r="O204" s="141" t="s">
        <v>918</v>
      </c>
      <c r="P204" s="141" t="s">
        <v>34</v>
      </c>
      <c r="Q204" s="141" t="s">
        <v>120</v>
      </c>
      <c r="R204" s="142">
        <v>11</v>
      </c>
      <c r="S204" s="141" t="s">
        <v>36</v>
      </c>
      <c r="T204" s="141"/>
      <c r="U204" s="143"/>
      <c r="V204" s="144"/>
      <c r="W204" s="145"/>
      <c r="X204" s="143"/>
      <c r="Y204" s="146"/>
    </row>
    <row r="205" spans="1:25" ht="42" customHeight="1">
      <c r="A205" s="137">
        <v>204</v>
      </c>
      <c r="B205" s="137" t="s">
        <v>25</v>
      </c>
      <c r="C205" s="137" t="s">
        <v>919</v>
      </c>
      <c r="D205" s="138" t="s">
        <v>920</v>
      </c>
      <c r="E205" s="137" t="s">
        <v>49</v>
      </c>
      <c r="F205" s="137" t="s">
        <v>921</v>
      </c>
      <c r="G205" s="137" t="s">
        <v>50</v>
      </c>
      <c r="H205" s="137" t="s">
        <v>922</v>
      </c>
      <c r="I205" s="137" t="s">
        <v>905</v>
      </c>
      <c r="J205" s="139">
        <v>44805</v>
      </c>
      <c r="K205" s="137">
        <v>2022</v>
      </c>
      <c r="L205" s="139">
        <v>44809</v>
      </c>
      <c r="M205" s="140">
        <v>0.31944444444444398</v>
      </c>
      <c r="N205" s="141" t="s">
        <v>354</v>
      </c>
      <c r="O205" s="141" t="s">
        <v>923</v>
      </c>
      <c r="P205" s="141" t="s">
        <v>34</v>
      </c>
      <c r="Q205" s="141" t="s">
        <v>924</v>
      </c>
      <c r="R205" s="142">
        <v>1</v>
      </c>
      <c r="S205" s="141" t="s">
        <v>36</v>
      </c>
      <c r="T205" s="141"/>
      <c r="U205" s="143"/>
      <c r="V205" s="144"/>
      <c r="W205" s="145"/>
      <c r="X205" s="143"/>
      <c r="Y205" s="146"/>
    </row>
    <row r="206" spans="1:25" ht="42" customHeight="1">
      <c r="A206" s="137">
        <v>205</v>
      </c>
      <c r="B206" s="137" t="s">
        <v>25</v>
      </c>
      <c r="C206" s="137" t="s">
        <v>925</v>
      </c>
      <c r="D206" s="138" t="s">
        <v>926</v>
      </c>
      <c r="E206" s="137" t="s">
        <v>49</v>
      </c>
      <c r="F206" s="137" t="s">
        <v>358</v>
      </c>
      <c r="G206" s="137" t="s">
        <v>50</v>
      </c>
      <c r="H206" s="137" t="s">
        <v>927</v>
      </c>
      <c r="I206" s="137" t="s">
        <v>927</v>
      </c>
      <c r="J206" s="139">
        <v>44824</v>
      </c>
      <c r="K206" s="137">
        <v>2022</v>
      </c>
      <c r="L206" s="139">
        <v>44826</v>
      </c>
      <c r="M206" s="140">
        <v>0.91666666666666696</v>
      </c>
      <c r="N206" s="141" t="s">
        <v>620</v>
      </c>
      <c r="O206" s="141" t="s">
        <v>928</v>
      </c>
      <c r="P206" s="141" t="s">
        <v>34</v>
      </c>
      <c r="Q206" s="141" t="s">
        <v>929</v>
      </c>
      <c r="R206" s="142">
        <v>2</v>
      </c>
      <c r="S206" s="141" t="s">
        <v>36</v>
      </c>
      <c r="T206" s="141"/>
      <c r="U206" s="143"/>
      <c r="V206" s="144"/>
      <c r="W206" s="145"/>
      <c r="X206" s="143"/>
      <c r="Y206" s="146"/>
    </row>
    <row r="207" spans="1:25" ht="42" customHeight="1">
      <c r="A207" s="137">
        <v>206</v>
      </c>
      <c r="B207" s="137" t="s">
        <v>25</v>
      </c>
      <c r="C207" s="137" t="s">
        <v>930</v>
      </c>
      <c r="D207" s="138" t="s">
        <v>931</v>
      </c>
      <c r="E207" s="137" t="s">
        <v>49</v>
      </c>
      <c r="F207" s="137" t="s">
        <v>358</v>
      </c>
      <c r="G207" s="137" t="s">
        <v>50</v>
      </c>
      <c r="H207" s="137" t="s">
        <v>932</v>
      </c>
      <c r="I207" s="137" t="s">
        <v>933</v>
      </c>
      <c r="J207" s="139">
        <v>44823</v>
      </c>
      <c r="K207" s="137">
        <v>2022</v>
      </c>
      <c r="L207" s="139">
        <v>44826</v>
      </c>
      <c r="M207" s="140">
        <v>0.375</v>
      </c>
      <c r="N207" s="141" t="s">
        <v>934</v>
      </c>
      <c r="O207" s="141" t="s">
        <v>935</v>
      </c>
      <c r="P207" s="141" t="s">
        <v>34</v>
      </c>
      <c r="Q207" s="141" t="s">
        <v>628</v>
      </c>
      <c r="R207" s="142">
        <v>7</v>
      </c>
      <c r="S207" s="141" t="s">
        <v>36</v>
      </c>
      <c r="T207" s="141"/>
      <c r="U207" s="143"/>
      <c r="V207" s="144"/>
      <c r="W207" s="145"/>
      <c r="X207" s="143"/>
      <c r="Y207" s="146"/>
    </row>
    <row r="208" spans="1:25" ht="42" customHeight="1">
      <c r="A208" s="137">
        <v>207</v>
      </c>
      <c r="B208" s="137" t="s">
        <v>25</v>
      </c>
      <c r="C208" s="137" t="s">
        <v>936</v>
      </c>
      <c r="D208" s="138" t="s">
        <v>937</v>
      </c>
      <c r="E208" s="137" t="s">
        <v>49</v>
      </c>
      <c r="F208" s="137" t="s">
        <v>358</v>
      </c>
      <c r="G208" s="137" t="s">
        <v>50</v>
      </c>
      <c r="H208" s="137" t="s">
        <v>938</v>
      </c>
      <c r="I208" s="137" t="s">
        <v>938</v>
      </c>
      <c r="J208" s="139">
        <v>44824</v>
      </c>
      <c r="K208" s="137">
        <v>2022</v>
      </c>
      <c r="L208" s="139">
        <v>44826</v>
      </c>
      <c r="M208" s="140">
        <v>0.60416666666666696</v>
      </c>
      <c r="N208" s="141" t="s">
        <v>939</v>
      </c>
      <c r="O208" s="141" t="s">
        <v>940</v>
      </c>
      <c r="P208" s="141" t="s">
        <v>34</v>
      </c>
      <c r="Q208" s="141" t="s">
        <v>941</v>
      </c>
      <c r="R208" s="142">
        <v>2</v>
      </c>
      <c r="S208" s="141" t="s">
        <v>36</v>
      </c>
      <c r="T208" s="141"/>
      <c r="U208" s="143"/>
      <c r="V208" s="144"/>
      <c r="W208" s="145"/>
      <c r="X208" s="143"/>
      <c r="Y208" s="146"/>
    </row>
    <row r="209" spans="1:25" ht="42" customHeight="1">
      <c r="A209" s="137">
        <v>208</v>
      </c>
      <c r="B209" s="137" t="s">
        <v>25</v>
      </c>
      <c r="C209" s="137" t="s">
        <v>942</v>
      </c>
      <c r="D209" s="138" t="s">
        <v>943</v>
      </c>
      <c r="E209" s="137" t="s">
        <v>49</v>
      </c>
      <c r="F209" s="137" t="s">
        <v>148</v>
      </c>
      <c r="G209" s="137" t="s">
        <v>41</v>
      </c>
      <c r="H209" s="137" t="s">
        <v>944</v>
      </c>
      <c r="I209" s="137" t="s">
        <v>685</v>
      </c>
      <c r="J209" s="139">
        <v>44855</v>
      </c>
      <c r="K209" s="137">
        <v>2022</v>
      </c>
      <c r="L209" s="139">
        <v>44865</v>
      </c>
      <c r="M209" s="140">
        <v>0.375</v>
      </c>
      <c r="N209" s="141" t="s">
        <v>945</v>
      </c>
      <c r="O209" s="141" t="s">
        <v>935</v>
      </c>
      <c r="P209" s="141" t="s">
        <v>34</v>
      </c>
      <c r="Q209" s="141" t="s">
        <v>946</v>
      </c>
      <c r="R209" s="142">
        <v>8</v>
      </c>
      <c r="S209" s="141" t="s">
        <v>36</v>
      </c>
      <c r="T209" s="141"/>
      <c r="U209" s="143"/>
      <c r="V209" s="144"/>
      <c r="W209" s="145"/>
      <c r="X209" s="143"/>
      <c r="Y209" s="146"/>
    </row>
    <row r="210" spans="1:25" ht="42" customHeight="1">
      <c r="A210" s="137">
        <v>209</v>
      </c>
      <c r="B210" s="137" t="s">
        <v>25</v>
      </c>
      <c r="C210" s="137" t="s">
        <v>947</v>
      </c>
      <c r="D210" s="138" t="s">
        <v>948</v>
      </c>
      <c r="E210" s="137" t="s">
        <v>28</v>
      </c>
      <c r="F210" s="137" t="s">
        <v>949</v>
      </c>
      <c r="G210" s="137" t="s">
        <v>41</v>
      </c>
      <c r="H210" s="137" t="s">
        <v>950</v>
      </c>
      <c r="I210" s="137" t="s">
        <v>950</v>
      </c>
      <c r="J210" s="139">
        <v>44858</v>
      </c>
      <c r="K210" s="137">
        <v>2022</v>
      </c>
      <c r="L210" s="139">
        <v>44881</v>
      </c>
      <c r="M210" s="140">
        <v>0.45833333333333298</v>
      </c>
      <c r="N210" s="141" t="s">
        <v>951</v>
      </c>
      <c r="O210" s="141" t="s">
        <v>240</v>
      </c>
      <c r="P210" s="141" t="s">
        <v>34</v>
      </c>
      <c r="Q210" s="141" t="s">
        <v>952</v>
      </c>
      <c r="R210" s="142">
        <v>0</v>
      </c>
      <c r="S210" s="141" t="s">
        <v>36</v>
      </c>
      <c r="T210" s="141"/>
      <c r="U210" s="143"/>
      <c r="V210" s="144"/>
      <c r="W210" s="145"/>
      <c r="X210" s="143"/>
      <c r="Y210" s="146"/>
    </row>
    <row r="211" spans="1:25" ht="42" customHeight="1">
      <c r="A211" s="137">
        <v>210</v>
      </c>
      <c r="B211" s="137" t="s">
        <v>25</v>
      </c>
      <c r="C211" s="137" t="s">
        <v>953</v>
      </c>
      <c r="D211" s="138" t="s">
        <v>954</v>
      </c>
      <c r="E211" s="137" t="s">
        <v>49</v>
      </c>
      <c r="F211" s="137" t="s">
        <v>358</v>
      </c>
      <c r="G211" s="137" t="s">
        <v>56</v>
      </c>
      <c r="H211" s="137" t="s">
        <v>955</v>
      </c>
      <c r="I211" s="137" t="s">
        <v>955</v>
      </c>
      <c r="J211" s="139">
        <v>44868</v>
      </c>
      <c r="K211" s="137">
        <v>2022</v>
      </c>
      <c r="L211" s="139">
        <v>44876</v>
      </c>
      <c r="M211" s="140">
        <v>0.41666666666666702</v>
      </c>
      <c r="N211" s="141" t="s">
        <v>58</v>
      </c>
      <c r="O211" s="141" t="s">
        <v>557</v>
      </c>
      <c r="P211" s="141" t="s">
        <v>34</v>
      </c>
      <c r="Q211" s="141" t="s">
        <v>956</v>
      </c>
      <c r="R211" s="142">
        <v>3</v>
      </c>
      <c r="S211" s="141" t="s">
        <v>36</v>
      </c>
      <c r="T211" s="141"/>
      <c r="U211" s="143"/>
      <c r="V211" s="144"/>
      <c r="W211" s="145"/>
      <c r="X211" s="143"/>
      <c r="Y211" s="146"/>
    </row>
    <row r="212" spans="1:25" ht="65.25" customHeight="1">
      <c r="A212" s="137">
        <v>211</v>
      </c>
      <c r="B212" s="137" t="s">
        <v>25</v>
      </c>
      <c r="C212" s="137" t="s">
        <v>957</v>
      </c>
      <c r="D212" s="138" t="s">
        <v>958</v>
      </c>
      <c r="E212" s="137" t="s">
        <v>49</v>
      </c>
      <c r="F212" s="137" t="s">
        <v>358</v>
      </c>
      <c r="G212" s="137" t="s">
        <v>56</v>
      </c>
      <c r="H212" s="137" t="s">
        <v>959</v>
      </c>
      <c r="I212" s="137" t="s">
        <v>950</v>
      </c>
      <c r="J212" s="139">
        <v>44886</v>
      </c>
      <c r="K212" s="137">
        <v>2022</v>
      </c>
      <c r="L212" s="139">
        <v>44897</v>
      </c>
      <c r="M212" s="140">
        <v>0.29513888888888901</v>
      </c>
      <c r="N212" s="141" t="s">
        <v>142</v>
      </c>
      <c r="O212" s="141" t="s">
        <v>960</v>
      </c>
      <c r="P212" s="141" t="s">
        <v>34</v>
      </c>
      <c r="Q212" s="141" t="s">
        <v>298</v>
      </c>
      <c r="R212" s="142">
        <v>5</v>
      </c>
      <c r="S212" s="141" t="s">
        <v>36</v>
      </c>
      <c r="T212" s="141"/>
      <c r="U212" s="143"/>
      <c r="V212" s="144"/>
      <c r="W212" s="145"/>
      <c r="X212" s="143"/>
      <c r="Y212" s="146"/>
    </row>
    <row r="213" spans="1:25" ht="42" customHeight="1">
      <c r="A213" s="137">
        <v>212</v>
      </c>
      <c r="B213" s="137" t="s">
        <v>25</v>
      </c>
      <c r="C213" s="137" t="s">
        <v>961</v>
      </c>
      <c r="D213" s="138" t="s">
        <v>962</v>
      </c>
      <c r="E213" s="137" t="s">
        <v>49</v>
      </c>
      <c r="F213" s="137" t="s">
        <v>358</v>
      </c>
      <c r="G213" s="137" t="s">
        <v>70</v>
      </c>
      <c r="H213" s="137" t="s">
        <v>963</v>
      </c>
      <c r="I213" s="137" t="s">
        <v>964</v>
      </c>
      <c r="J213" s="139">
        <v>44901</v>
      </c>
      <c r="K213" s="137">
        <v>2022</v>
      </c>
      <c r="L213" s="139">
        <v>44902</v>
      </c>
      <c r="M213" s="140">
        <v>0.72916666666666696</v>
      </c>
      <c r="N213" s="141" t="s">
        <v>965</v>
      </c>
      <c r="O213" s="141" t="s">
        <v>966</v>
      </c>
      <c r="P213" s="141" t="s">
        <v>34</v>
      </c>
      <c r="Q213" s="141" t="s">
        <v>967</v>
      </c>
      <c r="R213" s="142">
        <v>0</v>
      </c>
      <c r="S213" s="141" t="s">
        <v>36</v>
      </c>
      <c r="T213" s="141"/>
      <c r="U213" s="143"/>
      <c r="V213" s="144"/>
      <c r="W213" s="145"/>
      <c r="X213" s="143"/>
      <c r="Y213" s="146"/>
    </row>
    <row r="214" spans="1:25" ht="42" customHeight="1">
      <c r="A214" s="137">
        <v>213</v>
      </c>
      <c r="B214" s="137" t="s">
        <v>25</v>
      </c>
      <c r="C214" s="137" t="s">
        <v>968</v>
      </c>
      <c r="D214" s="138" t="s">
        <v>969</v>
      </c>
      <c r="E214" s="137" t="s">
        <v>49</v>
      </c>
      <c r="F214" s="137" t="s">
        <v>358</v>
      </c>
      <c r="G214" s="137" t="s">
        <v>70</v>
      </c>
      <c r="H214" s="137" t="s">
        <v>970</v>
      </c>
      <c r="I214" s="137" t="s">
        <v>971</v>
      </c>
      <c r="J214" s="139">
        <v>44923</v>
      </c>
      <c r="K214" s="137">
        <v>2023</v>
      </c>
      <c r="L214" s="139">
        <v>44929</v>
      </c>
      <c r="M214" s="140">
        <v>0.72916666666666696</v>
      </c>
      <c r="N214" s="141" t="s">
        <v>972</v>
      </c>
      <c r="O214" s="141" t="s">
        <v>973</v>
      </c>
      <c r="P214" s="141" t="s">
        <v>34</v>
      </c>
      <c r="Q214" s="141" t="s">
        <v>974</v>
      </c>
      <c r="R214" s="142">
        <v>3</v>
      </c>
      <c r="S214" s="141" t="s">
        <v>36</v>
      </c>
      <c r="T214" s="141"/>
      <c r="U214" s="143"/>
      <c r="V214" s="144"/>
      <c r="W214" s="145"/>
      <c r="X214" s="143"/>
      <c r="Y214" s="146"/>
    </row>
    <row r="215" spans="1:25" ht="42" customHeight="1">
      <c r="A215" s="88">
        <v>214</v>
      </c>
      <c r="B215" s="88" t="s">
        <v>25</v>
      </c>
      <c r="C215" s="88" t="s">
        <v>975</v>
      </c>
      <c r="D215" s="131" t="s">
        <v>877</v>
      </c>
      <c r="E215" s="88" t="s">
        <v>49</v>
      </c>
      <c r="F215" s="88" t="s">
        <v>148</v>
      </c>
      <c r="G215" s="88" t="s">
        <v>124</v>
      </c>
      <c r="H215" s="88" t="s">
        <v>976</v>
      </c>
      <c r="I215" s="88" t="s">
        <v>977</v>
      </c>
      <c r="J215" s="89">
        <v>44930</v>
      </c>
      <c r="K215" s="88">
        <v>2023</v>
      </c>
      <c r="L215" s="89">
        <v>44931</v>
      </c>
      <c r="M215" s="132">
        <v>0.5625</v>
      </c>
      <c r="N215" s="133" t="s">
        <v>978</v>
      </c>
      <c r="O215" s="133" t="s">
        <v>960</v>
      </c>
      <c r="P215" s="133" t="s">
        <v>34</v>
      </c>
      <c r="Q215" s="133" t="s">
        <v>173</v>
      </c>
      <c r="R215" s="134">
        <v>6</v>
      </c>
      <c r="S215" s="133" t="s">
        <v>36</v>
      </c>
      <c r="T215" s="133"/>
      <c r="U215" s="95"/>
      <c r="V215" s="92"/>
      <c r="W215" s="94"/>
      <c r="X215" s="95"/>
      <c r="Y215" s="102"/>
    </row>
    <row r="216" spans="1:25" ht="42" customHeight="1">
      <c r="A216" s="88">
        <v>215</v>
      </c>
      <c r="B216" s="88" t="s">
        <v>25</v>
      </c>
      <c r="C216" s="88" t="s">
        <v>979</v>
      </c>
      <c r="D216" s="131" t="s">
        <v>980</v>
      </c>
      <c r="E216" s="88" t="s">
        <v>49</v>
      </c>
      <c r="F216" s="88" t="s">
        <v>140</v>
      </c>
      <c r="G216" s="88" t="s">
        <v>124</v>
      </c>
      <c r="H216" s="88" t="s">
        <v>496</v>
      </c>
      <c r="I216" s="88" t="s">
        <v>496</v>
      </c>
      <c r="J216" s="89">
        <v>44936</v>
      </c>
      <c r="K216" s="88">
        <v>2023</v>
      </c>
      <c r="L216" s="89">
        <v>44937</v>
      </c>
      <c r="M216" s="132">
        <v>0.625</v>
      </c>
      <c r="N216" s="133" t="s">
        <v>795</v>
      </c>
      <c r="O216" s="88" t="s">
        <v>981</v>
      </c>
      <c r="P216" s="133" t="s">
        <v>34</v>
      </c>
      <c r="Q216" s="133" t="s">
        <v>982</v>
      </c>
      <c r="R216" s="134">
        <v>0</v>
      </c>
      <c r="S216" s="133" t="s">
        <v>36</v>
      </c>
      <c r="T216" s="133"/>
      <c r="U216" s="95"/>
      <c r="V216" s="92"/>
      <c r="W216" s="94"/>
      <c r="X216" s="95"/>
      <c r="Y216" s="102"/>
    </row>
    <row r="217" spans="1:25" ht="42" customHeight="1">
      <c r="A217" s="88">
        <v>216</v>
      </c>
      <c r="B217" s="88" t="s">
        <v>25</v>
      </c>
      <c r="C217" s="88" t="s">
        <v>983</v>
      </c>
      <c r="D217" s="131" t="s">
        <v>984</v>
      </c>
      <c r="E217" s="88" t="s">
        <v>49</v>
      </c>
      <c r="F217" s="88" t="s">
        <v>140</v>
      </c>
      <c r="G217" s="88" t="s">
        <v>124</v>
      </c>
      <c r="H217" s="88" t="s">
        <v>985</v>
      </c>
      <c r="I217" s="88" t="s">
        <v>986</v>
      </c>
      <c r="J217" s="89">
        <v>44956</v>
      </c>
      <c r="K217" s="88">
        <v>2023</v>
      </c>
      <c r="L217" s="89">
        <v>44960</v>
      </c>
      <c r="M217" s="132">
        <v>0.69444444444444398</v>
      </c>
      <c r="N217" s="133" t="s">
        <v>142</v>
      </c>
      <c r="O217" s="133" t="s">
        <v>987</v>
      </c>
      <c r="P217" s="133" t="s">
        <v>34</v>
      </c>
      <c r="Q217" s="133" t="s">
        <v>578</v>
      </c>
      <c r="R217" s="134">
        <v>1</v>
      </c>
      <c r="S217" s="133" t="s">
        <v>36</v>
      </c>
      <c r="T217" s="133"/>
      <c r="U217" s="95"/>
      <c r="V217" s="92"/>
      <c r="W217" s="94"/>
      <c r="X217" s="95"/>
      <c r="Y217" s="102"/>
    </row>
    <row r="218" spans="1:25" ht="42" customHeight="1">
      <c r="A218" s="88">
        <v>217</v>
      </c>
      <c r="B218" s="88" t="s">
        <v>25</v>
      </c>
      <c r="C218" s="148" t="s">
        <v>988</v>
      </c>
      <c r="D218" s="131" t="s">
        <v>989</v>
      </c>
      <c r="E218" s="88" t="s">
        <v>28</v>
      </c>
      <c r="F218" s="88" t="s">
        <v>348</v>
      </c>
      <c r="G218" s="88" t="s">
        <v>75</v>
      </c>
      <c r="H218" s="88" t="s">
        <v>990</v>
      </c>
      <c r="I218" s="88" t="s">
        <v>991</v>
      </c>
      <c r="J218" s="89">
        <v>44962</v>
      </c>
      <c r="K218" s="88">
        <v>2023</v>
      </c>
      <c r="L218" s="89">
        <v>44965</v>
      </c>
      <c r="M218" s="132">
        <v>0.75</v>
      </c>
      <c r="N218" s="133" t="s">
        <v>992</v>
      </c>
      <c r="O218" s="133" t="s">
        <v>198</v>
      </c>
      <c r="P218" s="133" t="s">
        <v>34</v>
      </c>
      <c r="Q218" s="133" t="s">
        <v>791</v>
      </c>
      <c r="R218" s="134">
        <v>0</v>
      </c>
      <c r="S218" s="133" t="s">
        <v>36</v>
      </c>
      <c r="T218" s="133"/>
      <c r="U218" s="95"/>
      <c r="V218" s="92"/>
      <c r="W218" s="94"/>
      <c r="X218" s="95"/>
      <c r="Y218" s="102"/>
    </row>
    <row r="219" spans="1:25" ht="42" customHeight="1">
      <c r="A219" s="88">
        <v>218</v>
      </c>
      <c r="B219" s="149" t="s">
        <v>25</v>
      </c>
      <c r="C219" s="148" t="s">
        <v>993</v>
      </c>
      <c r="D219" s="150" t="s">
        <v>994</v>
      </c>
      <c r="E219" s="88" t="s">
        <v>49</v>
      </c>
      <c r="F219" s="88" t="s">
        <v>995</v>
      </c>
      <c r="G219" s="88" t="s">
        <v>75</v>
      </c>
      <c r="H219" s="88" t="s">
        <v>996</v>
      </c>
      <c r="I219" s="88" t="s">
        <v>997</v>
      </c>
      <c r="J219" s="89">
        <v>44965</v>
      </c>
      <c r="K219" s="88">
        <v>2023</v>
      </c>
      <c r="L219" s="89">
        <v>44970</v>
      </c>
      <c r="M219" s="132">
        <v>0.41666666666666702</v>
      </c>
      <c r="N219" s="133" t="s">
        <v>998</v>
      </c>
      <c r="O219" s="133" t="s">
        <v>999</v>
      </c>
      <c r="P219" s="133" t="s">
        <v>34</v>
      </c>
      <c r="Q219" s="133" t="s">
        <v>628</v>
      </c>
      <c r="R219" s="134">
        <v>14</v>
      </c>
      <c r="S219" s="133" t="s">
        <v>36</v>
      </c>
      <c r="T219" s="133"/>
      <c r="U219" s="95"/>
      <c r="V219" s="92"/>
      <c r="W219" s="94"/>
      <c r="X219" s="95"/>
      <c r="Y219" s="102"/>
    </row>
    <row r="220" spans="1:25" ht="42" customHeight="1">
      <c r="A220" s="88">
        <v>219</v>
      </c>
      <c r="B220" s="149" t="s">
        <v>25</v>
      </c>
      <c r="C220" s="88" t="s">
        <v>1000</v>
      </c>
      <c r="D220" s="150" t="s">
        <v>1001</v>
      </c>
      <c r="E220" s="88" t="s">
        <v>49</v>
      </c>
      <c r="F220" s="88" t="s">
        <v>151</v>
      </c>
      <c r="G220" s="88" t="s">
        <v>75</v>
      </c>
      <c r="H220" s="88" t="s">
        <v>644</v>
      </c>
      <c r="I220" s="88" t="s">
        <v>644</v>
      </c>
      <c r="J220" s="89">
        <v>44960</v>
      </c>
      <c r="K220" s="88">
        <v>2023</v>
      </c>
      <c r="L220" s="89">
        <v>44970</v>
      </c>
      <c r="M220" s="132">
        <v>0.9375</v>
      </c>
      <c r="N220" s="133" t="s">
        <v>1002</v>
      </c>
      <c r="O220" s="133" t="s">
        <v>1003</v>
      </c>
      <c r="P220" s="133" t="s">
        <v>34</v>
      </c>
      <c r="Q220" s="133" t="s">
        <v>35</v>
      </c>
      <c r="R220" s="134">
        <v>0</v>
      </c>
      <c r="S220" s="133"/>
      <c r="T220" s="133"/>
      <c r="U220" s="95"/>
      <c r="V220" s="92"/>
      <c r="W220" s="94"/>
      <c r="X220" s="95"/>
      <c r="Y220" s="102"/>
    </row>
    <row r="221" spans="1:25" ht="42" customHeight="1">
      <c r="A221" s="88">
        <v>220</v>
      </c>
      <c r="B221" s="149" t="s">
        <v>25</v>
      </c>
      <c r="C221" s="88" t="s">
        <v>1004</v>
      </c>
      <c r="D221" s="150" t="s">
        <v>1005</v>
      </c>
      <c r="E221" s="88" t="s">
        <v>49</v>
      </c>
      <c r="F221" s="88" t="s">
        <v>151</v>
      </c>
      <c r="G221" s="88" t="s">
        <v>75</v>
      </c>
      <c r="H221" s="88" t="s">
        <v>436</v>
      </c>
      <c r="I221" s="88" t="s">
        <v>1006</v>
      </c>
      <c r="J221" s="89">
        <v>44965</v>
      </c>
      <c r="K221" s="88">
        <v>2023</v>
      </c>
      <c r="L221" s="89">
        <v>44972</v>
      </c>
      <c r="M221" s="132">
        <v>0.76319444444444395</v>
      </c>
      <c r="N221" s="133" t="s">
        <v>221</v>
      </c>
      <c r="O221" s="133" t="s">
        <v>797</v>
      </c>
      <c r="P221" s="133" t="s">
        <v>144</v>
      </c>
      <c r="Q221" s="133" t="s">
        <v>1007</v>
      </c>
      <c r="R221" s="134">
        <v>10</v>
      </c>
      <c r="S221" s="133"/>
      <c r="T221" s="133"/>
      <c r="U221" s="95"/>
      <c r="V221" s="92"/>
      <c r="W221" s="94"/>
      <c r="X221" s="95"/>
      <c r="Y221" s="102"/>
    </row>
    <row r="222" spans="1:25" ht="42" customHeight="1">
      <c r="A222" s="88">
        <v>221</v>
      </c>
      <c r="B222" s="149" t="s">
        <v>25</v>
      </c>
      <c r="C222" s="88">
        <v>19407152001</v>
      </c>
      <c r="D222" s="150" t="s">
        <v>1008</v>
      </c>
      <c r="E222" s="88" t="s">
        <v>49</v>
      </c>
      <c r="F222" s="88" t="s">
        <v>151</v>
      </c>
      <c r="G222" s="88" t="s">
        <v>75</v>
      </c>
      <c r="H222" s="88" t="s">
        <v>985</v>
      </c>
      <c r="I222" s="88" t="s">
        <v>112</v>
      </c>
      <c r="J222" s="89">
        <v>44973</v>
      </c>
      <c r="K222" s="88">
        <v>2023</v>
      </c>
      <c r="L222" s="89">
        <v>45056</v>
      </c>
      <c r="M222" s="132">
        <v>0.32291666666666702</v>
      </c>
      <c r="N222" s="133" t="s">
        <v>795</v>
      </c>
      <c r="O222" s="133" t="s">
        <v>1009</v>
      </c>
      <c r="P222" s="133" t="s">
        <v>34</v>
      </c>
      <c r="Q222" s="133" t="s">
        <v>1010</v>
      </c>
      <c r="R222" s="134">
        <v>30</v>
      </c>
      <c r="S222" s="133"/>
      <c r="T222" s="133"/>
      <c r="U222" s="95"/>
      <c r="V222" s="92"/>
      <c r="W222" s="94"/>
      <c r="X222" s="95"/>
      <c r="Y222" s="102"/>
    </row>
    <row r="223" spans="1:25" ht="42" customHeight="1">
      <c r="A223" s="88">
        <v>222</v>
      </c>
      <c r="B223" s="149" t="s">
        <v>25</v>
      </c>
      <c r="C223" s="88" t="s">
        <v>1011</v>
      </c>
      <c r="D223" s="150" t="s">
        <v>1012</v>
      </c>
      <c r="E223" s="88" t="s">
        <v>28</v>
      </c>
      <c r="F223" s="88" t="s">
        <v>1013</v>
      </c>
      <c r="G223" s="88" t="s">
        <v>134</v>
      </c>
      <c r="H223" s="88" t="s">
        <v>1014</v>
      </c>
      <c r="I223" s="88" t="s">
        <v>1014</v>
      </c>
      <c r="J223" s="89">
        <v>44986</v>
      </c>
      <c r="K223" s="88">
        <v>2023</v>
      </c>
      <c r="L223" s="89">
        <v>44987</v>
      </c>
      <c r="M223" s="132">
        <v>0.51041666666666696</v>
      </c>
      <c r="N223" s="133" t="s">
        <v>1015</v>
      </c>
      <c r="O223" s="133" t="s">
        <v>1016</v>
      </c>
      <c r="P223" s="133" t="s">
        <v>34</v>
      </c>
      <c r="Q223" s="133" t="s">
        <v>1017</v>
      </c>
      <c r="R223" s="134">
        <v>0</v>
      </c>
      <c r="S223" s="133" t="s">
        <v>36</v>
      </c>
      <c r="T223" s="133"/>
      <c r="U223" s="95"/>
      <c r="V223" s="92"/>
      <c r="W223" s="94"/>
      <c r="X223" s="95"/>
      <c r="Y223" s="102"/>
    </row>
    <row r="224" spans="1:25" ht="42" customHeight="1">
      <c r="A224" s="88">
        <v>223</v>
      </c>
      <c r="B224" s="149" t="s">
        <v>25</v>
      </c>
      <c r="C224" s="88" t="s">
        <v>1018</v>
      </c>
      <c r="D224" s="150" t="s">
        <v>300</v>
      </c>
      <c r="E224" s="88" t="s">
        <v>49</v>
      </c>
      <c r="F224" s="88" t="s">
        <v>81</v>
      </c>
      <c r="G224" s="88" t="s">
        <v>134</v>
      </c>
      <c r="H224" s="88" t="s">
        <v>83</v>
      </c>
      <c r="I224" s="88" t="s">
        <v>1019</v>
      </c>
      <c r="J224" s="89" t="s">
        <v>1020</v>
      </c>
      <c r="K224" s="88">
        <v>2023</v>
      </c>
      <c r="L224" s="89">
        <v>44988</v>
      </c>
      <c r="M224" s="132">
        <v>0.72916666666666696</v>
      </c>
      <c r="N224" s="133" t="s">
        <v>221</v>
      </c>
      <c r="O224" s="133" t="s">
        <v>1021</v>
      </c>
      <c r="P224" s="133" t="s">
        <v>103</v>
      </c>
      <c r="Q224" s="133" t="s">
        <v>1022</v>
      </c>
      <c r="R224" s="134">
        <v>0</v>
      </c>
      <c r="S224" s="133" t="s">
        <v>36</v>
      </c>
      <c r="T224" s="133"/>
      <c r="U224" s="95"/>
      <c r="V224" s="92"/>
      <c r="W224" s="94"/>
      <c r="X224" s="95"/>
      <c r="Y224" s="102"/>
    </row>
    <row r="225" spans="1:25" ht="27.75" customHeight="1">
      <c r="A225" s="88">
        <v>224</v>
      </c>
      <c r="B225" s="149" t="s">
        <v>25</v>
      </c>
      <c r="C225" s="88" t="s">
        <v>1023</v>
      </c>
      <c r="D225" s="150" t="s">
        <v>1024</v>
      </c>
      <c r="E225" s="88" t="s">
        <v>28</v>
      </c>
      <c r="F225" s="88" t="s">
        <v>539</v>
      </c>
      <c r="G225" s="88" t="s">
        <v>134</v>
      </c>
      <c r="H225" s="88" t="s">
        <v>574</v>
      </c>
      <c r="I225" s="88" t="s">
        <v>574</v>
      </c>
      <c r="J225" s="89">
        <v>44993</v>
      </c>
      <c r="K225" s="88">
        <v>2023</v>
      </c>
      <c r="L225" s="89">
        <v>45001</v>
      </c>
      <c r="M225" s="132">
        <v>0.58333333333333304</v>
      </c>
      <c r="N225" s="133" t="s">
        <v>64</v>
      </c>
      <c r="O225" s="133" t="s">
        <v>1025</v>
      </c>
      <c r="P225" s="133" t="s">
        <v>103</v>
      </c>
      <c r="Q225" s="133" t="s">
        <v>1026</v>
      </c>
      <c r="R225" s="134">
        <v>0</v>
      </c>
      <c r="S225" s="133"/>
      <c r="T225" s="133"/>
      <c r="U225" s="95"/>
      <c r="V225" s="92"/>
      <c r="W225" s="94"/>
      <c r="X225" s="95"/>
      <c r="Y225" s="102"/>
    </row>
    <row r="226" spans="1:25" ht="44.25" customHeight="1">
      <c r="A226" s="88">
        <v>225</v>
      </c>
      <c r="B226" s="149" t="s">
        <v>25</v>
      </c>
      <c r="C226" s="88" t="s">
        <v>1027</v>
      </c>
      <c r="D226" s="150" t="s">
        <v>1028</v>
      </c>
      <c r="E226" s="88" t="s">
        <v>28</v>
      </c>
      <c r="F226" s="88" t="s">
        <v>1029</v>
      </c>
      <c r="G226" s="88" t="s">
        <v>134</v>
      </c>
      <c r="H226" s="88" t="s">
        <v>1030</v>
      </c>
      <c r="I226" s="88" t="s">
        <v>1031</v>
      </c>
      <c r="J226" s="89">
        <v>44999</v>
      </c>
      <c r="K226" s="88">
        <v>2023</v>
      </c>
      <c r="L226" s="89">
        <v>45005</v>
      </c>
      <c r="M226" s="132">
        <v>0.46180555555555602</v>
      </c>
      <c r="N226" s="133" t="s">
        <v>795</v>
      </c>
      <c r="O226" s="133" t="s">
        <v>1032</v>
      </c>
      <c r="P226" s="133" t="s">
        <v>103</v>
      </c>
      <c r="Q226" s="133" t="s">
        <v>1033</v>
      </c>
      <c r="R226" s="134">
        <v>2</v>
      </c>
      <c r="S226" s="133" t="s">
        <v>36</v>
      </c>
      <c r="T226" s="133"/>
      <c r="U226" s="95"/>
      <c r="V226" s="92"/>
      <c r="W226" s="94"/>
      <c r="X226" s="95"/>
      <c r="Y226" s="102"/>
    </row>
    <row r="227" spans="1:25" ht="38.25" customHeight="1">
      <c r="A227" s="88">
        <v>226</v>
      </c>
      <c r="B227" s="149" t="s">
        <v>25</v>
      </c>
      <c r="C227" s="88" t="s">
        <v>1034</v>
      </c>
      <c r="D227" s="150" t="s">
        <v>1035</v>
      </c>
      <c r="E227" s="88" t="s">
        <v>49</v>
      </c>
      <c r="F227" s="88" t="s">
        <v>151</v>
      </c>
      <c r="G227" s="88" t="s">
        <v>134</v>
      </c>
      <c r="H227" s="88" t="s">
        <v>644</v>
      </c>
      <c r="I227" s="88" t="s">
        <v>644</v>
      </c>
      <c r="J227" s="89">
        <v>44997</v>
      </c>
      <c r="K227" s="88">
        <v>2023</v>
      </c>
      <c r="L227" s="89">
        <v>45014</v>
      </c>
      <c r="M227" s="132">
        <v>0.52083333333333304</v>
      </c>
      <c r="N227" s="133" t="s">
        <v>1036</v>
      </c>
      <c r="O227" s="133" t="s">
        <v>1037</v>
      </c>
      <c r="P227" s="133" t="s">
        <v>764</v>
      </c>
      <c r="Q227" s="133" t="s">
        <v>1038</v>
      </c>
      <c r="R227" s="134">
        <v>7</v>
      </c>
      <c r="S227" s="133" t="s">
        <v>36</v>
      </c>
      <c r="T227" s="133"/>
      <c r="U227" s="95"/>
      <c r="V227" s="92"/>
      <c r="W227" s="94"/>
      <c r="X227" s="95"/>
      <c r="Y227" s="102"/>
    </row>
    <row r="228" spans="1:25" ht="30" customHeight="1">
      <c r="A228" s="88">
        <v>227</v>
      </c>
      <c r="B228" s="149" t="s">
        <v>25</v>
      </c>
      <c r="C228" s="88" t="s">
        <v>1039</v>
      </c>
      <c r="D228" s="150" t="s">
        <v>1040</v>
      </c>
      <c r="E228" s="88" t="s">
        <v>49</v>
      </c>
      <c r="F228" s="88" t="s">
        <v>148</v>
      </c>
      <c r="G228" s="88" t="s">
        <v>134</v>
      </c>
      <c r="H228" s="88" t="s">
        <v>985</v>
      </c>
      <c r="I228" s="88" t="s">
        <v>1041</v>
      </c>
      <c r="J228" s="89">
        <v>45001</v>
      </c>
      <c r="K228" s="88">
        <v>2023</v>
      </c>
      <c r="L228" s="89">
        <v>45006</v>
      </c>
      <c r="M228" s="132">
        <v>0.56944444444444398</v>
      </c>
      <c r="N228" s="133" t="s">
        <v>812</v>
      </c>
      <c r="O228" s="133" t="s">
        <v>818</v>
      </c>
      <c r="P228" s="133" t="s">
        <v>103</v>
      </c>
      <c r="Q228" s="133" t="s">
        <v>173</v>
      </c>
      <c r="R228" s="134">
        <v>7</v>
      </c>
      <c r="S228" s="133"/>
      <c r="T228" s="133"/>
      <c r="U228" s="95"/>
      <c r="V228" s="92"/>
      <c r="W228" s="94"/>
      <c r="X228" s="95"/>
      <c r="Y228" s="102"/>
    </row>
    <row r="229" spans="1:25" ht="50.25" customHeight="1">
      <c r="A229" s="88">
        <v>228</v>
      </c>
      <c r="B229" s="149" t="s">
        <v>25</v>
      </c>
      <c r="C229" s="88" t="s">
        <v>1042</v>
      </c>
      <c r="D229" s="150" t="s">
        <v>1043</v>
      </c>
      <c r="E229" s="88" t="s">
        <v>49</v>
      </c>
      <c r="F229" s="88" t="s">
        <v>151</v>
      </c>
      <c r="G229" s="88" t="s">
        <v>134</v>
      </c>
      <c r="H229" s="88" t="s">
        <v>1044</v>
      </c>
      <c r="I229" s="88" t="s">
        <v>644</v>
      </c>
      <c r="J229" s="89">
        <v>45010</v>
      </c>
      <c r="K229" s="88">
        <v>2023</v>
      </c>
      <c r="L229" s="89">
        <v>45020</v>
      </c>
      <c r="M229" s="132">
        <v>0.52083333333333304</v>
      </c>
      <c r="N229" s="133" t="s">
        <v>1045</v>
      </c>
      <c r="O229" s="133" t="s">
        <v>960</v>
      </c>
      <c r="P229" s="133" t="s">
        <v>103</v>
      </c>
      <c r="Q229" s="133" t="s">
        <v>173</v>
      </c>
      <c r="R229" s="134">
        <v>15</v>
      </c>
      <c r="S229" s="133"/>
      <c r="T229" s="133"/>
      <c r="U229" s="95"/>
      <c r="V229" s="92"/>
      <c r="W229" s="94"/>
      <c r="X229" s="95"/>
      <c r="Y229" s="102"/>
    </row>
    <row r="230" spans="1:25" ht="30" customHeight="1">
      <c r="A230" s="88">
        <v>229</v>
      </c>
      <c r="B230" s="149" t="s">
        <v>25</v>
      </c>
      <c r="C230" s="88" t="s">
        <v>1046</v>
      </c>
      <c r="D230" s="150" t="s">
        <v>48</v>
      </c>
      <c r="E230" s="88" t="s">
        <v>49</v>
      </c>
      <c r="F230" s="88" t="s">
        <v>358</v>
      </c>
      <c r="G230" s="88" t="s">
        <v>149</v>
      </c>
      <c r="H230" s="88" t="s">
        <v>1047</v>
      </c>
      <c r="I230" s="88" t="s">
        <v>1047</v>
      </c>
      <c r="J230" s="89">
        <v>45035</v>
      </c>
      <c r="K230" s="88">
        <v>2023</v>
      </c>
      <c r="L230" s="89">
        <v>45043</v>
      </c>
      <c r="M230" s="132">
        <v>0.38333333333333303</v>
      </c>
      <c r="N230" s="133" t="s">
        <v>1048</v>
      </c>
      <c r="O230" s="133" t="s">
        <v>1049</v>
      </c>
      <c r="P230" s="133" t="s">
        <v>34</v>
      </c>
      <c r="Q230" s="133" t="s">
        <v>489</v>
      </c>
      <c r="R230" s="134">
        <v>0</v>
      </c>
      <c r="S230" s="133"/>
      <c r="T230" s="133"/>
      <c r="U230" s="95"/>
      <c r="V230" s="92"/>
      <c r="W230" s="94"/>
      <c r="X230" s="95"/>
      <c r="Y230" s="102"/>
    </row>
    <row r="231" spans="1:25" ht="30" customHeight="1">
      <c r="A231" s="88">
        <v>230</v>
      </c>
      <c r="B231" s="149" t="s">
        <v>25</v>
      </c>
      <c r="C231" s="88" t="s">
        <v>1050</v>
      </c>
      <c r="D231" s="150" t="s">
        <v>738</v>
      </c>
      <c r="E231" s="88" t="s">
        <v>49</v>
      </c>
      <c r="F231" s="88" t="s">
        <v>358</v>
      </c>
      <c r="G231" s="88" t="s">
        <v>149</v>
      </c>
      <c r="H231" s="88" t="s">
        <v>1051</v>
      </c>
      <c r="I231" s="88" t="s">
        <v>1051</v>
      </c>
      <c r="J231" s="89">
        <v>45036</v>
      </c>
      <c r="K231" s="88">
        <v>2023</v>
      </c>
      <c r="L231" s="89">
        <v>45041</v>
      </c>
      <c r="M231" s="132">
        <v>0.38263888888888897</v>
      </c>
      <c r="N231" s="133" t="s">
        <v>564</v>
      </c>
      <c r="O231" s="133" t="s">
        <v>240</v>
      </c>
      <c r="P231" s="133" t="s">
        <v>34</v>
      </c>
      <c r="Q231" s="133" t="s">
        <v>35</v>
      </c>
      <c r="R231" s="134">
        <v>0</v>
      </c>
      <c r="S231" s="133"/>
      <c r="T231" s="133"/>
      <c r="U231" s="95"/>
      <c r="V231" s="92"/>
      <c r="W231" s="94"/>
      <c r="X231" s="95"/>
      <c r="Y231" s="102"/>
    </row>
    <row r="232" spans="1:25" ht="39.75" customHeight="1">
      <c r="A232" s="88">
        <v>231</v>
      </c>
      <c r="B232" s="149" t="s">
        <v>25</v>
      </c>
      <c r="C232" s="88" t="s">
        <v>1052</v>
      </c>
      <c r="D232" s="150" t="s">
        <v>1053</v>
      </c>
      <c r="E232" s="88" t="s">
        <v>49</v>
      </c>
      <c r="F232" s="88" t="s">
        <v>887</v>
      </c>
      <c r="G232" s="88" t="s">
        <v>244</v>
      </c>
      <c r="H232" s="88" t="s">
        <v>889</v>
      </c>
      <c r="I232" s="88" t="s">
        <v>889</v>
      </c>
      <c r="J232" s="89">
        <v>45062</v>
      </c>
      <c r="K232" s="88">
        <v>2023</v>
      </c>
      <c r="L232" s="89">
        <v>45083</v>
      </c>
      <c r="M232" s="132">
        <v>0.33333333333333298</v>
      </c>
      <c r="N232" s="133" t="s">
        <v>1054</v>
      </c>
      <c r="O232" s="133" t="s">
        <v>1054</v>
      </c>
      <c r="P232" s="133" t="s">
        <v>764</v>
      </c>
      <c r="Q232" s="133" t="s">
        <v>1055</v>
      </c>
      <c r="R232" s="134">
        <v>4</v>
      </c>
      <c r="S232" s="133"/>
      <c r="T232" s="133"/>
      <c r="U232" s="95"/>
      <c r="V232" s="92"/>
      <c r="W232" s="94"/>
      <c r="X232" s="95"/>
      <c r="Y232" s="102"/>
    </row>
    <row r="233" spans="1:25" ht="30" customHeight="1">
      <c r="A233" s="88">
        <v>232</v>
      </c>
      <c r="B233" s="149" t="s">
        <v>25</v>
      </c>
      <c r="C233" s="88" t="s">
        <v>1056</v>
      </c>
      <c r="D233" s="150" t="s">
        <v>1057</v>
      </c>
      <c r="E233" s="88" t="s">
        <v>28</v>
      </c>
      <c r="F233" s="88" t="s">
        <v>358</v>
      </c>
      <c r="G233" s="88" t="s">
        <v>244</v>
      </c>
      <c r="H233" s="88" t="s">
        <v>1058</v>
      </c>
      <c r="I233" s="88" t="s">
        <v>1058</v>
      </c>
      <c r="J233" s="89">
        <v>45061</v>
      </c>
      <c r="K233" s="88">
        <v>2023</v>
      </c>
      <c r="L233" s="89">
        <v>45062</v>
      </c>
      <c r="M233" s="132">
        <v>0.79166666666666696</v>
      </c>
      <c r="N233" s="133" t="s">
        <v>1059</v>
      </c>
      <c r="O233" s="133" t="s">
        <v>1060</v>
      </c>
      <c r="P233" s="133" t="s">
        <v>34</v>
      </c>
      <c r="Q233" s="133" t="s">
        <v>1061</v>
      </c>
      <c r="R233" s="134">
        <v>1</v>
      </c>
      <c r="S233" s="133"/>
      <c r="T233" s="133"/>
      <c r="U233" s="95"/>
      <c r="V233" s="92"/>
      <c r="W233" s="94"/>
      <c r="X233" s="95"/>
      <c r="Y233" s="102"/>
    </row>
    <row r="234" spans="1:25" ht="39.75" customHeight="1">
      <c r="A234" s="88">
        <v>233</v>
      </c>
      <c r="B234" s="149" t="s">
        <v>25</v>
      </c>
      <c r="C234" s="88" t="s">
        <v>1062</v>
      </c>
      <c r="D234" s="150" t="s">
        <v>1063</v>
      </c>
      <c r="E234" s="88" t="s">
        <v>49</v>
      </c>
      <c r="F234" s="88" t="s">
        <v>358</v>
      </c>
      <c r="G234" s="88" t="s">
        <v>82</v>
      </c>
      <c r="H234" s="88" t="s">
        <v>909</v>
      </c>
      <c r="I234" s="88" t="s">
        <v>909</v>
      </c>
      <c r="J234" s="89">
        <v>45079</v>
      </c>
      <c r="K234" s="88">
        <v>2023</v>
      </c>
      <c r="L234" s="89">
        <v>45083</v>
      </c>
      <c r="M234" s="132">
        <v>0.33333333333333298</v>
      </c>
      <c r="N234" s="133" t="s">
        <v>1054</v>
      </c>
      <c r="O234" s="133" t="s">
        <v>1054</v>
      </c>
      <c r="P234" s="133" t="s">
        <v>764</v>
      </c>
      <c r="Q234" s="133" t="s">
        <v>1064</v>
      </c>
      <c r="R234" s="134">
        <v>14</v>
      </c>
      <c r="S234" s="133"/>
      <c r="T234" s="133"/>
      <c r="U234" s="95"/>
      <c r="V234" s="92"/>
      <c r="W234" s="94"/>
      <c r="X234" s="95"/>
      <c r="Y234" s="102"/>
    </row>
    <row r="235" spans="1:25" ht="30" customHeight="1">
      <c r="A235" s="88">
        <v>234</v>
      </c>
      <c r="B235" s="149" t="s">
        <v>25</v>
      </c>
      <c r="C235" s="88" t="s">
        <v>1065</v>
      </c>
      <c r="D235" s="150" t="s">
        <v>1066</v>
      </c>
      <c r="E235" s="88" t="s">
        <v>49</v>
      </c>
      <c r="F235" s="88" t="s">
        <v>358</v>
      </c>
      <c r="G235" s="88" t="s">
        <v>82</v>
      </c>
      <c r="H235" s="88" t="s">
        <v>31</v>
      </c>
      <c r="I235" s="88" t="s">
        <v>117</v>
      </c>
      <c r="J235" s="89">
        <v>45084</v>
      </c>
      <c r="K235" s="88">
        <v>2023</v>
      </c>
      <c r="L235" s="89">
        <v>45119</v>
      </c>
      <c r="M235" s="132">
        <v>0.41666666666666702</v>
      </c>
      <c r="N235" s="133" t="s">
        <v>616</v>
      </c>
      <c r="O235" s="133" t="s">
        <v>1067</v>
      </c>
      <c r="P235" s="133" t="s">
        <v>34</v>
      </c>
      <c r="Q235" s="133" t="s">
        <v>35</v>
      </c>
      <c r="R235" s="134">
        <v>0</v>
      </c>
      <c r="S235" s="133"/>
      <c r="T235" s="133"/>
      <c r="U235" s="95"/>
      <c r="V235" s="92"/>
      <c r="W235" s="94"/>
      <c r="X235" s="95"/>
      <c r="Y235" s="102"/>
    </row>
    <row r="236" spans="1:25" ht="30" customHeight="1">
      <c r="A236" s="88">
        <v>235</v>
      </c>
      <c r="B236" s="149" t="s">
        <v>25</v>
      </c>
      <c r="C236" s="88" t="s">
        <v>1068</v>
      </c>
      <c r="D236" s="150" t="s">
        <v>1069</v>
      </c>
      <c r="E236" s="88" t="s">
        <v>49</v>
      </c>
      <c r="F236" s="88" t="s">
        <v>1070</v>
      </c>
      <c r="G236" s="88" t="s">
        <v>157</v>
      </c>
      <c r="H236" s="88" t="s">
        <v>287</v>
      </c>
      <c r="I236" s="88" t="s">
        <v>287</v>
      </c>
      <c r="J236" s="89">
        <v>45119</v>
      </c>
      <c r="K236" s="88">
        <v>2023</v>
      </c>
      <c r="L236" s="89">
        <v>45125</v>
      </c>
      <c r="M236" s="132">
        <v>0.42916666666666697</v>
      </c>
      <c r="N236" s="133" t="s">
        <v>934</v>
      </c>
      <c r="O236" s="133" t="s">
        <v>1071</v>
      </c>
      <c r="P236" s="133" t="s">
        <v>144</v>
      </c>
      <c r="Q236" s="133" t="s">
        <v>1072</v>
      </c>
      <c r="R236" s="134">
        <v>1</v>
      </c>
      <c r="S236" s="133"/>
      <c r="T236" s="133"/>
      <c r="U236" s="95"/>
      <c r="V236" s="92"/>
      <c r="W236" s="94"/>
      <c r="X236" s="95"/>
      <c r="Y236" s="102"/>
    </row>
    <row r="237" spans="1:25" ht="30" customHeight="1">
      <c r="A237" s="88">
        <v>236</v>
      </c>
      <c r="B237" s="149" t="s">
        <v>25</v>
      </c>
      <c r="C237" s="88" t="s">
        <v>1073</v>
      </c>
      <c r="D237" s="150" t="s">
        <v>180</v>
      </c>
      <c r="E237" s="88" t="s">
        <v>49</v>
      </c>
      <c r="F237" s="88" t="s">
        <v>123</v>
      </c>
      <c r="G237" s="88" t="s">
        <v>157</v>
      </c>
      <c r="H237" s="88" t="s">
        <v>1074</v>
      </c>
      <c r="I237" s="88" t="s">
        <v>644</v>
      </c>
      <c r="J237" s="89">
        <v>45114</v>
      </c>
      <c r="K237" s="88">
        <v>2023</v>
      </c>
      <c r="L237" s="89">
        <v>45131</v>
      </c>
      <c r="M237" s="132">
        <v>0.33333333333333298</v>
      </c>
      <c r="N237" s="133" t="s">
        <v>64</v>
      </c>
      <c r="O237" s="133" t="s">
        <v>928</v>
      </c>
      <c r="P237" s="133" t="s">
        <v>34</v>
      </c>
      <c r="Q237" s="133" t="s">
        <v>598</v>
      </c>
      <c r="R237" s="134">
        <v>1</v>
      </c>
      <c r="S237" s="133"/>
      <c r="T237" s="133"/>
      <c r="U237" s="95"/>
      <c r="V237" s="92"/>
      <c r="W237" s="94"/>
      <c r="X237" s="95"/>
      <c r="Y237" s="102"/>
    </row>
    <row r="238" spans="1:25" ht="30" customHeight="1">
      <c r="A238" s="88">
        <v>237</v>
      </c>
      <c r="B238" s="149" t="s">
        <v>25</v>
      </c>
      <c r="C238" s="88" t="s">
        <v>1075</v>
      </c>
      <c r="D238" s="150" t="s">
        <v>1076</v>
      </c>
      <c r="E238" s="88" t="s">
        <v>28</v>
      </c>
      <c r="F238" s="88" t="s">
        <v>1077</v>
      </c>
      <c r="G238" s="88" t="s">
        <v>157</v>
      </c>
      <c r="H238" s="88" t="s">
        <v>985</v>
      </c>
      <c r="I238" s="88" t="s">
        <v>171</v>
      </c>
      <c r="J238" s="89">
        <v>45132</v>
      </c>
      <c r="K238" s="88">
        <v>2023</v>
      </c>
      <c r="L238" s="89">
        <v>45134</v>
      </c>
      <c r="M238" s="132">
        <v>0.45</v>
      </c>
      <c r="N238" s="133" t="s">
        <v>1078</v>
      </c>
      <c r="O238" s="133" t="s">
        <v>1079</v>
      </c>
      <c r="P238" s="133" t="s">
        <v>34</v>
      </c>
      <c r="Q238" s="133" t="s">
        <v>1080</v>
      </c>
      <c r="R238" s="134">
        <v>14</v>
      </c>
      <c r="S238" s="133"/>
      <c r="T238" s="133"/>
      <c r="U238" s="95"/>
      <c r="V238" s="92"/>
      <c r="W238" s="94"/>
      <c r="X238" s="95"/>
      <c r="Y238" s="102"/>
    </row>
    <row r="239" spans="1:25" ht="30" customHeight="1">
      <c r="A239" s="88">
        <v>238</v>
      </c>
      <c r="B239" s="149" t="s">
        <v>25</v>
      </c>
      <c r="C239" s="88" t="s">
        <v>1081</v>
      </c>
      <c r="D239" s="150" t="s">
        <v>476</v>
      </c>
      <c r="E239" s="88" t="s">
        <v>49</v>
      </c>
      <c r="F239" s="88" t="s">
        <v>358</v>
      </c>
      <c r="G239" s="88" t="s">
        <v>30</v>
      </c>
      <c r="H239" s="88" t="s">
        <v>1082</v>
      </c>
      <c r="I239" s="88" t="s">
        <v>1082</v>
      </c>
      <c r="J239" s="89">
        <v>45157</v>
      </c>
      <c r="K239" s="88">
        <v>2023</v>
      </c>
      <c r="L239" s="89">
        <v>45162</v>
      </c>
      <c r="M239" s="132">
        <v>5.5555555555555601E-2</v>
      </c>
      <c r="N239" s="133" t="s">
        <v>1083</v>
      </c>
      <c r="O239" s="133" t="s">
        <v>250</v>
      </c>
      <c r="P239" s="133" t="s">
        <v>34</v>
      </c>
      <c r="Q239" s="133" t="s">
        <v>727</v>
      </c>
      <c r="R239" s="134">
        <v>0</v>
      </c>
      <c r="S239" s="133"/>
      <c r="T239" s="133"/>
      <c r="U239" s="95"/>
      <c r="V239" s="92"/>
      <c r="W239" s="94"/>
      <c r="X239" s="95"/>
      <c r="Y239" s="102"/>
    </row>
    <row r="240" spans="1:25" ht="30" customHeight="1">
      <c r="A240" s="88">
        <v>239</v>
      </c>
      <c r="B240" s="149" t="s">
        <v>25</v>
      </c>
      <c r="C240" s="88" t="s">
        <v>1084</v>
      </c>
      <c r="D240" s="150" t="s">
        <v>1085</v>
      </c>
      <c r="E240" s="88" t="s">
        <v>49</v>
      </c>
      <c r="F240" s="88" t="s">
        <v>569</v>
      </c>
      <c r="G240" s="88" t="s">
        <v>50</v>
      </c>
      <c r="H240" s="88" t="s">
        <v>1086</v>
      </c>
      <c r="I240" s="88" t="s">
        <v>1086</v>
      </c>
      <c r="J240" s="89" t="s">
        <v>1087</v>
      </c>
      <c r="K240" s="88">
        <v>2023</v>
      </c>
      <c r="L240" s="89">
        <v>45175</v>
      </c>
      <c r="M240" s="132">
        <v>0.40138888888888902</v>
      </c>
      <c r="N240" s="133" t="s">
        <v>646</v>
      </c>
      <c r="O240" s="133" t="s">
        <v>240</v>
      </c>
      <c r="P240" s="133" t="s">
        <v>34</v>
      </c>
      <c r="Q240" s="133" t="s">
        <v>35</v>
      </c>
      <c r="R240" s="134">
        <v>0</v>
      </c>
      <c r="S240" s="133"/>
      <c r="T240" s="133"/>
      <c r="U240" s="95"/>
      <c r="V240" s="92"/>
      <c r="W240" s="94"/>
      <c r="X240" s="95"/>
      <c r="Y240" s="102"/>
    </row>
    <row r="241" spans="1:25" ht="30" customHeight="1">
      <c r="A241" s="88">
        <v>240</v>
      </c>
      <c r="B241" s="149" t="s">
        <v>25</v>
      </c>
      <c r="C241" s="88" t="s">
        <v>1088</v>
      </c>
      <c r="D241" s="150" t="s">
        <v>375</v>
      </c>
      <c r="E241" s="88" t="s">
        <v>49</v>
      </c>
      <c r="F241" s="88" t="s">
        <v>1089</v>
      </c>
      <c r="G241" s="88" t="s">
        <v>50</v>
      </c>
      <c r="H241" s="88" t="s">
        <v>403</v>
      </c>
      <c r="I241" s="88" t="s">
        <v>403</v>
      </c>
      <c r="J241" s="89">
        <v>45175</v>
      </c>
      <c r="K241" s="88">
        <v>2023</v>
      </c>
      <c r="L241" s="89">
        <v>45175</v>
      </c>
      <c r="M241" s="132">
        <v>0.44444444444444398</v>
      </c>
      <c r="N241" s="133" t="s">
        <v>735</v>
      </c>
      <c r="O241" s="133" t="s">
        <v>670</v>
      </c>
      <c r="P241" s="133" t="s">
        <v>34</v>
      </c>
      <c r="Q241" s="133" t="s">
        <v>35</v>
      </c>
      <c r="R241" s="134">
        <v>0</v>
      </c>
      <c r="S241" s="133"/>
      <c r="T241" s="133"/>
      <c r="U241" s="95"/>
      <c r="V241" s="92"/>
      <c r="W241" s="94"/>
      <c r="X241" s="95"/>
      <c r="Y241" s="102"/>
    </row>
    <row r="242" spans="1:25" ht="37.5" customHeight="1">
      <c r="A242" s="88">
        <v>241</v>
      </c>
      <c r="B242" s="149" t="s">
        <v>25</v>
      </c>
      <c r="C242" s="88" t="s">
        <v>1090</v>
      </c>
      <c r="D242" s="150" t="s">
        <v>1091</v>
      </c>
      <c r="E242" s="88" t="s">
        <v>28</v>
      </c>
      <c r="F242" s="88" t="s">
        <v>425</v>
      </c>
      <c r="G242" s="88" t="s">
        <v>30</v>
      </c>
      <c r="H242" s="88" t="s">
        <v>1092</v>
      </c>
      <c r="I242" s="88" t="s">
        <v>715</v>
      </c>
      <c r="J242" s="89">
        <v>45167</v>
      </c>
      <c r="K242" s="88">
        <v>2023</v>
      </c>
      <c r="L242" s="89">
        <v>45188</v>
      </c>
      <c r="M242" s="132">
        <v>0.86944444444444402</v>
      </c>
      <c r="N242" s="133" t="s">
        <v>853</v>
      </c>
      <c r="O242" s="133" t="s">
        <v>1093</v>
      </c>
      <c r="P242" s="133" t="s">
        <v>797</v>
      </c>
      <c r="Q242" s="133" t="s">
        <v>1080</v>
      </c>
      <c r="R242" s="134">
        <v>30</v>
      </c>
      <c r="S242" s="133"/>
      <c r="T242" s="133"/>
      <c r="U242" s="95"/>
      <c r="V242" s="92"/>
      <c r="W242" s="94"/>
      <c r="X242" s="95"/>
      <c r="Y242" s="102"/>
    </row>
    <row r="243" spans="1:25" ht="37.5" customHeight="1">
      <c r="A243" s="88">
        <v>242</v>
      </c>
      <c r="B243" s="149" t="s">
        <v>25</v>
      </c>
      <c r="C243" s="88" t="s">
        <v>1094</v>
      </c>
      <c r="D243" s="150" t="s">
        <v>1095</v>
      </c>
      <c r="E243" s="88" t="s">
        <v>49</v>
      </c>
      <c r="F243" s="88" t="s">
        <v>514</v>
      </c>
      <c r="G243" s="88" t="s">
        <v>50</v>
      </c>
      <c r="H243" s="88" t="s">
        <v>1096</v>
      </c>
      <c r="I243" s="88" t="s">
        <v>1096</v>
      </c>
      <c r="J243" s="89">
        <v>45175</v>
      </c>
      <c r="K243" s="88">
        <v>2023</v>
      </c>
      <c r="L243" s="89">
        <v>45184</v>
      </c>
      <c r="M243" s="132">
        <v>0.58333333333333304</v>
      </c>
      <c r="N243" s="133" t="s">
        <v>972</v>
      </c>
      <c r="O243" s="133" t="s">
        <v>240</v>
      </c>
      <c r="P243" s="133" t="s">
        <v>34</v>
      </c>
      <c r="Q243" s="133" t="s">
        <v>1097</v>
      </c>
      <c r="R243" s="134">
        <v>0</v>
      </c>
      <c r="S243" s="133"/>
      <c r="T243" s="133"/>
      <c r="U243" s="95"/>
      <c r="V243" s="92"/>
      <c r="W243" s="94"/>
      <c r="X243" s="95"/>
      <c r="Y243" s="102"/>
    </row>
    <row r="244" spans="1:25" ht="37.5" customHeight="1">
      <c r="A244" s="88">
        <v>243</v>
      </c>
      <c r="B244" s="149" t="s">
        <v>25</v>
      </c>
      <c r="C244" s="88" t="s">
        <v>1098</v>
      </c>
      <c r="D244" s="150" t="s">
        <v>1099</v>
      </c>
      <c r="E244" s="88" t="s">
        <v>49</v>
      </c>
      <c r="F244" s="88" t="s">
        <v>1100</v>
      </c>
      <c r="G244" s="88" t="s">
        <v>41</v>
      </c>
      <c r="H244" s="88" t="s">
        <v>287</v>
      </c>
      <c r="I244" s="88" t="s">
        <v>287</v>
      </c>
      <c r="J244" s="89">
        <v>45202</v>
      </c>
      <c r="K244" s="88">
        <v>2023</v>
      </c>
      <c r="L244" s="89">
        <v>45204</v>
      </c>
      <c r="M244" s="132">
        <v>0.35416666666666702</v>
      </c>
      <c r="N244" s="133" t="s">
        <v>1101</v>
      </c>
      <c r="O244" s="133" t="s">
        <v>1102</v>
      </c>
      <c r="P244" s="133" t="s">
        <v>34</v>
      </c>
      <c r="Q244" s="133" t="s">
        <v>1103</v>
      </c>
      <c r="R244" s="134">
        <v>0</v>
      </c>
      <c r="S244" s="133"/>
      <c r="T244" s="133"/>
      <c r="U244" s="95"/>
      <c r="V244" s="92"/>
      <c r="W244" s="94"/>
      <c r="X244" s="95"/>
      <c r="Y244" s="102"/>
    </row>
    <row r="245" spans="1:25" ht="37.5" customHeight="1">
      <c r="A245" s="88">
        <v>244</v>
      </c>
      <c r="B245" s="149" t="s">
        <v>25</v>
      </c>
      <c r="C245" s="88" t="s">
        <v>1104</v>
      </c>
      <c r="D245" s="150" t="s">
        <v>1105</v>
      </c>
      <c r="E245" s="88" t="s">
        <v>28</v>
      </c>
      <c r="F245" s="88" t="s">
        <v>1106</v>
      </c>
      <c r="G245" s="88" t="s">
        <v>41</v>
      </c>
      <c r="H245" s="88" t="s">
        <v>57</v>
      </c>
      <c r="I245" s="88" t="s">
        <v>57</v>
      </c>
      <c r="J245" s="89">
        <v>45203</v>
      </c>
      <c r="K245" s="88">
        <v>2023</v>
      </c>
      <c r="L245" s="89">
        <v>45204</v>
      </c>
      <c r="M245" s="132">
        <v>0.77083333333333304</v>
      </c>
      <c r="N245" s="133" t="s">
        <v>1107</v>
      </c>
      <c r="O245" s="133" t="s">
        <v>674</v>
      </c>
      <c r="P245" s="133" t="s">
        <v>34</v>
      </c>
      <c r="Q245" s="133" t="s">
        <v>1108</v>
      </c>
      <c r="R245" s="134">
        <v>3</v>
      </c>
      <c r="S245" s="133"/>
      <c r="T245" s="133"/>
      <c r="U245" s="95"/>
      <c r="V245" s="92"/>
      <c r="W245" s="94"/>
      <c r="X245" s="95"/>
      <c r="Y245" s="102"/>
    </row>
    <row r="246" spans="1:25" ht="37.5" customHeight="1">
      <c r="A246" s="88">
        <v>245</v>
      </c>
      <c r="B246" s="149" t="s">
        <v>25</v>
      </c>
      <c r="C246" s="88" t="s">
        <v>1109</v>
      </c>
      <c r="D246" s="150" t="s">
        <v>1110</v>
      </c>
      <c r="E246" s="88" t="s">
        <v>49</v>
      </c>
      <c r="F246" s="88" t="s">
        <v>358</v>
      </c>
      <c r="G246" s="88" t="s">
        <v>41</v>
      </c>
      <c r="H246" s="88" t="s">
        <v>57</v>
      </c>
      <c r="I246" s="88" t="s">
        <v>57</v>
      </c>
      <c r="J246" s="89">
        <v>45217</v>
      </c>
      <c r="K246" s="88">
        <v>2023</v>
      </c>
      <c r="L246" s="89">
        <v>45217</v>
      </c>
      <c r="M246" s="132">
        <v>0.44444444444444398</v>
      </c>
      <c r="N246" s="133" t="s">
        <v>1111</v>
      </c>
      <c r="O246" s="133" t="s">
        <v>1112</v>
      </c>
      <c r="P246" s="133" t="s">
        <v>34</v>
      </c>
      <c r="Q246" s="133" t="s">
        <v>1108</v>
      </c>
      <c r="R246" s="134">
        <v>0</v>
      </c>
      <c r="S246" s="133"/>
      <c r="T246" s="133"/>
      <c r="U246" s="95"/>
      <c r="V246" s="92"/>
      <c r="W246" s="94"/>
      <c r="X246" s="95"/>
      <c r="Y246" s="102"/>
    </row>
    <row r="247" spans="1:25" ht="37.5" customHeight="1">
      <c r="A247" s="88">
        <v>246</v>
      </c>
      <c r="B247" s="149" t="s">
        <v>25</v>
      </c>
      <c r="C247" s="88" t="s">
        <v>1113</v>
      </c>
      <c r="D247" s="150" t="s">
        <v>1114</v>
      </c>
      <c r="E247" s="88" t="s">
        <v>49</v>
      </c>
      <c r="F247" s="88" t="s">
        <v>358</v>
      </c>
      <c r="G247" s="88" t="s">
        <v>41</v>
      </c>
      <c r="H247" s="88" t="s">
        <v>287</v>
      </c>
      <c r="I247" s="88" t="s">
        <v>287</v>
      </c>
      <c r="J247" s="89">
        <v>45217</v>
      </c>
      <c r="K247" s="88">
        <v>2023</v>
      </c>
      <c r="L247" s="89">
        <v>45219</v>
      </c>
      <c r="M247" s="132">
        <v>0.35416666666666702</v>
      </c>
      <c r="N247" s="133" t="s">
        <v>1115</v>
      </c>
      <c r="O247" s="133" t="s">
        <v>250</v>
      </c>
      <c r="P247" s="133" t="s">
        <v>34</v>
      </c>
      <c r="Q247" s="133" t="s">
        <v>825</v>
      </c>
      <c r="R247" s="134">
        <v>0</v>
      </c>
      <c r="S247" s="133"/>
      <c r="T247" s="133"/>
      <c r="U247" s="95"/>
      <c r="V247" s="92"/>
      <c r="W247" s="94"/>
      <c r="X247" s="95"/>
      <c r="Y247" s="102"/>
    </row>
    <row r="248" spans="1:25" ht="37.5" customHeight="1">
      <c r="A248" s="88">
        <v>247</v>
      </c>
      <c r="B248" s="149" t="s">
        <v>25</v>
      </c>
      <c r="C248" s="88" t="s">
        <v>1116</v>
      </c>
      <c r="D248" s="150" t="s">
        <v>1063</v>
      </c>
      <c r="E248" s="88" t="s">
        <v>49</v>
      </c>
      <c r="F248" s="88" t="s">
        <v>358</v>
      </c>
      <c r="G248" s="88" t="s">
        <v>56</v>
      </c>
      <c r="H248" s="88" t="s">
        <v>1117</v>
      </c>
      <c r="I248" s="88" t="s">
        <v>1118</v>
      </c>
      <c r="J248" s="89">
        <v>45237</v>
      </c>
      <c r="K248" s="88">
        <v>2023</v>
      </c>
      <c r="L248" s="89">
        <v>45237</v>
      </c>
      <c r="M248" s="132">
        <v>0.625</v>
      </c>
      <c r="N248" s="133" t="s">
        <v>64</v>
      </c>
      <c r="O248" s="133" t="s">
        <v>451</v>
      </c>
      <c r="P248" s="133" t="s">
        <v>34</v>
      </c>
      <c r="Q248" s="133" t="s">
        <v>35</v>
      </c>
      <c r="R248" s="134">
        <v>0</v>
      </c>
      <c r="S248" s="133"/>
      <c r="T248" s="133"/>
      <c r="U248" s="95"/>
      <c r="V248" s="92"/>
      <c r="W248" s="94"/>
      <c r="X248" s="95"/>
      <c r="Y248" s="102"/>
    </row>
    <row r="249" spans="1:25" ht="37.5" customHeight="1">
      <c r="A249" s="88">
        <v>248</v>
      </c>
      <c r="B249" s="149" t="s">
        <v>25</v>
      </c>
      <c r="C249" s="88" t="s">
        <v>1119</v>
      </c>
      <c r="D249" s="150" t="s">
        <v>1120</v>
      </c>
      <c r="E249" s="88" t="s">
        <v>28</v>
      </c>
      <c r="F249" s="88" t="s">
        <v>1100</v>
      </c>
      <c r="G249" s="88" t="s">
        <v>56</v>
      </c>
      <c r="H249" s="88" t="s">
        <v>1121</v>
      </c>
      <c r="I249" s="88" t="s">
        <v>1121</v>
      </c>
      <c r="J249" s="89">
        <v>45237</v>
      </c>
      <c r="K249" s="88">
        <v>2023</v>
      </c>
      <c r="L249" s="89">
        <v>45238</v>
      </c>
      <c r="M249" s="132">
        <v>0.625</v>
      </c>
      <c r="N249" s="133" t="s">
        <v>1122</v>
      </c>
      <c r="O249" s="133" t="s">
        <v>297</v>
      </c>
      <c r="P249" s="133" t="s">
        <v>144</v>
      </c>
      <c r="Q249" s="133" t="s">
        <v>974</v>
      </c>
      <c r="R249" s="134">
        <v>3</v>
      </c>
      <c r="S249" s="133"/>
      <c r="T249" s="133"/>
      <c r="U249" s="95"/>
      <c r="V249" s="92"/>
      <c r="W249" s="94"/>
      <c r="X249" s="95"/>
      <c r="Y249" s="102"/>
    </row>
    <row r="250" spans="1:25" ht="37.5" customHeight="1">
      <c r="A250" s="88">
        <v>249</v>
      </c>
      <c r="B250" s="149" t="s">
        <v>25</v>
      </c>
      <c r="C250" s="88" t="s">
        <v>1123</v>
      </c>
      <c r="D250" s="150" t="s">
        <v>111</v>
      </c>
      <c r="E250" s="88" t="s">
        <v>49</v>
      </c>
      <c r="F250" s="88" t="s">
        <v>358</v>
      </c>
      <c r="G250" s="88" t="s">
        <v>56</v>
      </c>
      <c r="H250" s="88" t="s">
        <v>112</v>
      </c>
      <c r="I250" s="88" t="s">
        <v>112</v>
      </c>
      <c r="J250" s="89">
        <v>45244</v>
      </c>
      <c r="K250" s="88">
        <v>2023</v>
      </c>
      <c r="L250" s="89">
        <v>45247</v>
      </c>
      <c r="M250" s="132">
        <v>0.49652777777777801</v>
      </c>
      <c r="N250" s="133" t="s">
        <v>1124</v>
      </c>
      <c r="O250" s="133" t="s">
        <v>1125</v>
      </c>
      <c r="P250" s="133" t="s">
        <v>34</v>
      </c>
      <c r="Q250" s="133" t="s">
        <v>1126</v>
      </c>
      <c r="R250" s="134">
        <v>0</v>
      </c>
      <c r="S250" s="133"/>
      <c r="T250" s="133"/>
      <c r="U250" s="95"/>
      <c r="V250" s="92"/>
      <c r="W250" s="94"/>
      <c r="X250" s="95"/>
      <c r="Y250" s="102"/>
    </row>
    <row r="251" spans="1:25" ht="37.5" customHeight="1">
      <c r="A251" s="88">
        <v>250</v>
      </c>
      <c r="B251" s="149" t="s">
        <v>25</v>
      </c>
      <c r="C251" s="88" t="s">
        <v>1127</v>
      </c>
      <c r="D251" s="150" t="s">
        <v>1128</v>
      </c>
      <c r="E251" s="88" t="s">
        <v>49</v>
      </c>
      <c r="F251" s="88" t="s">
        <v>358</v>
      </c>
      <c r="G251" s="88" t="s">
        <v>56</v>
      </c>
      <c r="H251" s="88" t="s">
        <v>76</v>
      </c>
      <c r="I251" s="88" t="s">
        <v>76</v>
      </c>
      <c r="J251" s="89">
        <v>45242</v>
      </c>
      <c r="K251" s="88">
        <v>2023</v>
      </c>
      <c r="L251" s="89">
        <v>45259</v>
      </c>
      <c r="M251" s="132">
        <v>0.79166666666666696</v>
      </c>
      <c r="N251" s="133" t="s">
        <v>64</v>
      </c>
      <c r="O251" s="133" t="s">
        <v>1129</v>
      </c>
      <c r="P251" s="133" t="s">
        <v>34</v>
      </c>
      <c r="Q251" s="133" t="s">
        <v>1097</v>
      </c>
      <c r="R251" s="134">
        <v>0</v>
      </c>
      <c r="S251" s="133"/>
      <c r="T251" s="133"/>
      <c r="U251" s="95"/>
      <c r="V251" s="92"/>
      <c r="W251" s="94"/>
      <c r="X251" s="95"/>
      <c r="Y251" s="102"/>
    </row>
    <row r="252" spans="1:25" ht="37.5" customHeight="1">
      <c r="A252" s="88">
        <v>251</v>
      </c>
      <c r="B252" s="149" t="s">
        <v>25</v>
      </c>
      <c r="C252" s="88" t="s">
        <v>1130</v>
      </c>
      <c r="D252" s="150" t="s">
        <v>1128</v>
      </c>
      <c r="E252" s="88" t="s">
        <v>49</v>
      </c>
      <c r="F252" s="88" t="s">
        <v>358</v>
      </c>
      <c r="G252" s="88" t="s">
        <v>70</v>
      </c>
      <c r="H252" s="88" t="s">
        <v>76</v>
      </c>
      <c r="I252" s="88" t="s">
        <v>76</v>
      </c>
      <c r="J252" s="89">
        <v>45261</v>
      </c>
      <c r="K252" s="88">
        <v>2023</v>
      </c>
      <c r="L252" s="89">
        <v>45261</v>
      </c>
      <c r="M252" s="132">
        <v>0.25</v>
      </c>
      <c r="N252" s="133" t="s">
        <v>1124</v>
      </c>
      <c r="O252" s="133" t="s">
        <v>1125</v>
      </c>
      <c r="P252" s="133" t="s">
        <v>34</v>
      </c>
      <c r="Q252" s="133" t="s">
        <v>1097</v>
      </c>
      <c r="R252" s="134">
        <v>0</v>
      </c>
      <c r="S252" s="133"/>
      <c r="T252" s="133"/>
      <c r="U252" s="95"/>
      <c r="V252" s="92"/>
      <c r="W252" s="94"/>
      <c r="X252" s="95"/>
      <c r="Y252" s="102"/>
    </row>
    <row r="253" spans="1:25" ht="31.5" customHeight="1">
      <c r="A253" s="88">
        <v>252</v>
      </c>
      <c r="B253" s="149" t="s">
        <v>25</v>
      </c>
      <c r="C253" s="88" t="s">
        <v>1131</v>
      </c>
      <c r="D253" s="150" t="s">
        <v>1132</v>
      </c>
      <c r="E253" s="88" t="s">
        <v>49</v>
      </c>
      <c r="F253" s="88" t="s">
        <v>358</v>
      </c>
      <c r="G253" s="88" t="s">
        <v>70</v>
      </c>
      <c r="H253" s="88" t="s">
        <v>1082</v>
      </c>
      <c r="I253" s="88" t="s">
        <v>1082</v>
      </c>
      <c r="J253" s="89">
        <v>45274</v>
      </c>
      <c r="K253" s="88">
        <v>2023</v>
      </c>
      <c r="L253" s="89">
        <v>45274</v>
      </c>
      <c r="M253" s="132">
        <v>0.4375</v>
      </c>
      <c r="N253" s="133" t="s">
        <v>1133</v>
      </c>
      <c r="O253" s="133" t="s">
        <v>78</v>
      </c>
      <c r="P253" s="133" t="s">
        <v>34</v>
      </c>
      <c r="Q253" s="133" t="s">
        <v>35</v>
      </c>
      <c r="R253" s="134">
        <v>0</v>
      </c>
      <c r="S253" s="133"/>
      <c r="T253" s="133"/>
      <c r="U253" s="95"/>
      <c r="V253" s="92"/>
      <c r="W253" s="94"/>
      <c r="X253" s="95"/>
      <c r="Y253" s="102"/>
    </row>
    <row r="254" spans="1:25" ht="31.5" customHeight="1">
      <c r="A254" s="88">
        <v>253</v>
      </c>
      <c r="B254" s="149" t="s">
        <v>25</v>
      </c>
      <c r="C254" s="88" t="s">
        <v>1134</v>
      </c>
      <c r="D254" s="150" t="s">
        <v>1135</v>
      </c>
      <c r="E254" s="88" t="s">
        <v>49</v>
      </c>
      <c r="F254" s="88" t="s">
        <v>358</v>
      </c>
      <c r="G254" s="88" t="s">
        <v>70</v>
      </c>
      <c r="H254" s="88" t="s">
        <v>1136</v>
      </c>
      <c r="I254" s="88" t="s">
        <v>1137</v>
      </c>
      <c r="J254" s="89">
        <v>45280</v>
      </c>
      <c r="K254" s="88">
        <v>2023</v>
      </c>
      <c r="L254" s="89">
        <v>45286</v>
      </c>
      <c r="M254" s="132">
        <v>0.4375</v>
      </c>
      <c r="N254" s="133" t="s">
        <v>64</v>
      </c>
      <c r="O254" s="133" t="s">
        <v>1138</v>
      </c>
      <c r="P254" s="133" t="s">
        <v>34</v>
      </c>
      <c r="Q254" s="133" t="s">
        <v>1097</v>
      </c>
      <c r="R254" s="134">
        <v>0</v>
      </c>
      <c r="S254" s="133"/>
      <c r="T254" s="133"/>
      <c r="U254" s="95"/>
      <c r="V254" s="92"/>
      <c r="W254" s="94"/>
      <c r="X254" s="95"/>
      <c r="Y254" s="102"/>
    </row>
    <row r="255" spans="1:25" ht="45.75" customHeight="1">
      <c r="A255" s="151">
        <v>254</v>
      </c>
      <c r="B255" s="152" t="s">
        <v>25</v>
      </c>
      <c r="C255" s="151" t="s">
        <v>1139</v>
      </c>
      <c r="D255" s="153" t="s">
        <v>601</v>
      </c>
      <c r="E255" s="151" t="s">
        <v>49</v>
      </c>
      <c r="F255" s="151" t="s">
        <v>358</v>
      </c>
      <c r="G255" s="151" t="s">
        <v>124</v>
      </c>
      <c r="H255" s="151" t="s">
        <v>1140</v>
      </c>
      <c r="I255" s="154" t="s">
        <v>511</v>
      </c>
      <c r="J255" s="155">
        <v>45309</v>
      </c>
      <c r="K255" s="151">
        <v>2024</v>
      </c>
      <c r="L255" s="155">
        <v>45309</v>
      </c>
      <c r="M255" s="156">
        <v>0.65972222222222199</v>
      </c>
      <c r="N255" s="157" t="s">
        <v>616</v>
      </c>
      <c r="O255" s="157" t="s">
        <v>1141</v>
      </c>
      <c r="P255" s="157" t="s">
        <v>34</v>
      </c>
      <c r="Q255" s="157" t="s">
        <v>35</v>
      </c>
      <c r="R255" s="158">
        <v>0</v>
      </c>
      <c r="S255" s="159"/>
      <c r="T255" s="159"/>
      <c r="U255" s="160"/>
      <c r="V255" s="161"/>
      <c r="W255" s="162"/>
      <c r="X255" s="160"/>
      <c r="Y255" s="163"/>
    </row>
    <row r="256" spans="1:25" ht="45.75" customHeight="1">
      <c r="A256" s="151">
        <v>255</v>
      </c>
      <c r="B256" s="152" t="s">
        <v>25</v>
      </c>
      <c r="C256" s="151" t="s">
        <v>1142</v>
      </c>
      <c r="D256" s="153" t="s">
        <v>1143</v>
      </c>
      <c r="E256" s="151" t="s">
        <v>49</v>
      </c>
      <c r="F256" s="151" t="s">
        <v>358</v>
      </c>
      <c r="G256" s="151" t="s">
        <v>124</v>
      </c>
      <c r="H256" s="151" t="s">
        <v>1144</v>
      </c>
      <c r="I256" s="154" t="s">
        <v>511</v>
      </c>
      <c r="J256" s="155">
        <v>45298</v>
      </c>
      <c r="K256" s="151">
        <v>2024</v>
      </c>
      <c r="L256" s="155">
        <v>45309</v>
      </c>
      <c r="M256" s="156">
        <v>0.70833333333333304</v>
      </c>
      <c r="N256" s="157" t="s">
        <v>1145</v>
      </c>
      <c r="O256" s="157" t="s">
        <v>250</v>
      </c>
      <c r="P256" s="157" t="s">
        <v>34</v>
      </c>
      <c r="Q256" s="157" t="s">
        <v>1146</v>
      </c>
      <c r="R256" s="158">
        <v>0</v>
      </c>
      <c r="S256" s="159"/>
      <c r="T256" s="159"/>
      <c r="U256" s="160"/>
      <c r="V256" s="161"/>
      <c r="W256" s="162"/>
      <c r="X256" s="160"/>
      <c r="Y256" s="163"/>
    </row>
    <row r="257" spans="1:25" ht="32.25" customHeight="1">
      <c r="A257" s="151">
        <v>256</v>
      </c>
      <c r="B257" s="152" t="s">
        <v>25</v>
      </c>
      <c r="C257" s="151" t="s">
        <v>1147</v>
      </c>
      <c r="D257" s="153" t="s">
        <v>1148</v>
      </c>
      <c r="E257" s="151" t="s">
        <v>49</v>
      </c>
      <c r="F257" s="151" t="s">
        <v>358</v>
      </c>
      <c r="G257" s="151" t="s">
        <v>124</v>
      </c>
      <c r="H257" s="151" t="s">
        <v>117</v>
      </c>
      <c r="I257" s="154" t="s">
        <v>117</v>
      </c>
      <c r="J257" s="155">
        <v>45317</v>
      </c>
      <c r="K257" s="151">
        <v>2024</v>
      </c>
      <c r="L257" s="155">
        <v>45321</v>
      </c>
      <c r="M257" s="156">
        <v>0.45833333333333298</v>
      </c>
      <c r="N257" s="157" t="s">
        <v>1054</v>
      </c>
      <c r="O257" s="157" t="s">
        <v>1054</v>
      </c>
      <c r="P257" s="157" t="s">
        <v>764</v>
      </c>
      <c r="Q257" s="157" t="s">
        <v>1149</v>
      </c>
      <c r="R257" s="158">
        <v>30</v>
      </c>
      <c r="S257" s="159"/>
      <c r="T257" s="159"/>
      <c r="U257" s="160"/>
      <c r="V257" s="161"/>
      <c r="W257" s="162"/>
      <c r="X257" s="160"/>
      <c r="Y257" s="163"/>
    </row>
    <row r="258" spans="1:25" ht="32.25" customHeight="1">
      <c r="A258" s="151">
        <v>257</v>
      </c>
      <c r="B258" s="152" t="s">
        <v>25</v>
      </c>
      <c r="C258" s="151" t="s">
        <v>1150</v>
      </c>
      <c r="D258" s="153" t="s">
        <v>701</v>
      </c>
      <c r="E258" s="151" t="s">
        <v>49</v>
      </c>
      <c r="F258" s="151" t="s">
        <v>358</v>
      </c>
      <c r="G258" s="151" t="s">
        <v>75</v>
      </c>
      <c r="H258" s="151" t="s">
        <v>1151</v>
      </c>
      <c r="I258" s="154" t="s">
        <v>692</v>
      </c>
      <c r="J258" s="155">
        <v>45350</v>
      </c>
      <c r="K258" s="151">
        <v>2024</v>
      </c>
      <c r="L258" s="155">
        <v>45350</v>
      </c>
      <c r="M258" s="156">
        <v>0.375</v>
      </c>
      <c r="N258" s="157" t="s">
        <v>1152</v>
      </c>
      <c r="O258" s="157" t="s">
        <v>1153</v>
      </c>
      <c r="P258" s="157" t="s">
        <v>34</v>
      </c>
      <c r="Q258" s="157" t="s">
        <v>66</v>
      </c>
      <c r="R258" s="158">
        <v>0</v>
      </c>
      <c r="S258" s="159"/>
      <c r="T258" s="159"/>
      <c r="U258" s="160"/>
      <c r="V258" s="161"/>
      <c r="W258" s="162"/>
      <c r="X258" s="160"/>
      <c r="Y258" s="163"/>
    </row>
    <row r="259" spans="1:25" ht="32.25" customHeight="1">
      <c r="A259" s="151">
        <v>258</v>
      </c>
      <c r="B259" s="152" t="s">
        <v>25</v>
      </c>
      <c r="C259" s="151" t="s">
        <v>1154</v>
      </c>
      <c r="D259" s="153" t="s">
        <v>1155</v>
      </c>
      <c r="E259" s="151" t="s">
        <v>49</v>
      </c>
      <c r="F259" s="151" t="s">
        <v>358</v>
      </c>
      <c r="G259" s="151" t="s">
        <v>75</v>
      </c>
      <c r="H259" s="151" t="s">
        <v>1156</v>
      </c>
      <c r="I259" s="154" t="s">
        <v>970</v>
      </c>
      <c r="J259" s="155">
        <v>45337</v>
      </c>
      <c r="K259" s="151">
        <v>2024</v>
      </c>
      <c r="L259" s="155">
        <v>45338</v>
      </c>
      <c r="M259" s="156">
        <v>0.27083333333333298</v>
      </c>
      <c r="N259" s="157" t="s">
        <v>1157</v>
      </c>
      <c r="O259" s="157" t="s">
        <v>1158</v>
      </c>
      <c r="P259" s="157" t="s">
        <v>34</v>
      </c>
      <c r="Q259" s="157" t="s">
        <v>1159</v>
      </c>
      <c r="R259" s="158">
        <v>0</v>
      </c>
      <c r="S259" s="159"/>
      <c r="T259" s="159"/>
      <c r="U259" s="160"/>
      <c r="V259" s="161"/>
      <c r="W259" s="162"/>
      <c r="X259" s="160"/>
      <c r="Y259" s="163"/>
    </row>
    <row r="260" spans="1:25" ht="35.25" customHeight="1">
      <c r="A260" s="151">
        <v>259</v>
      </c>
      <c r="B260" s="152" t="s">
        <v>25</v>
      </c>
      <c r="C260" s="151" t="s">
        <v>1160</v>
      </c>
      <c r="D260" s="153" t="s">
        <v>1161</v>
      </c>
      <c r="E260" s="151" t="s">
        <v>49</v>
      </c>
      <c r="F260" s="151" t="s">
        <v>156</v>
      </c>
      <c r="G260" s="151" t="s">
        <v>134</v>
      </c>
      <c r="H260" s="151" t="s">
        <v>1162</v>
      </c>
      <c r="I260" s="154" t="s">
        <v>1163</v>
      </c>
      <c r="J260" s="155">
        <v>45359</v>
      </c>
      <c r="K260" s="151">
        <v>2024</v>
      </c>
      <c r="L260" s="155">
        <v>45362</v>
      </c>
      <c r="M260" s="156">
        <v>0.37152777777777801</v>
      </c>
      <c r="N260" s="157" t="s">
        <v>1164</v>
      </c>
      <c r="O260" s="157" t="s">
        <v>1165</v>
      </c>
      <c r="P260" s="157" t="s">
        <v>34</v>
      </c>
      <c r="Q260" s="157" t="s">
        <v>145</v>
      </c>
      <c r="R260" s="158">
        <v>15</v>
      </c>
      <c r="S260" s="159"/>
      <c r="T260" s="159"/>
      <c r="U260" s="160"/>
      <c r="V260" s="161"/>
      <c r="W260" s="162"/>
      <c r="X260" s="160"/>
      <c r="Y260" s="163"/>
    </row>
    <row r="261" spans="1:25" ht="30.75" customHeight="1">
      <c r="A261" s="151">
        <v>260</v>
      </c>
      <c r="B261" s="152" t="s">
        <v>25</v>
      </c>
      <c r="C261" s="151" t="s">
        <v>1166</v>
      </c>
      <c r="D261" s="153" t="s">
        <v>1167</v>
      </c>
      <c r="E261" s="151" t="s">
        <v>49</v>
      </c>
      <c r="F261" s="151" t="s">
        <v>358</v>
      </c>
      <c r="G261" s="151" t="s">
        <v>134</v>
      </c>
      <c r="H261" s="151" t="s">
        <v>1168</v>
      </c>
      <c r="I261" s="154" t="s">
        <v>287</v>
      </c>
      <c r="J261" s="155">
        <v>45363</v>
      </c>
      <c r="K261" s="151">
        <v>2024</v>
      </c>
      <c r="L261" s="155">
        <v>45365</v>
      </c>
      <c r="M261" s="156">
        <v>0.80555555555555503</v>
      </c>
      <c r="N261" s="157" t="s">
        <v>1169</v>
      </c>
      <c r="O261" s="157" t="s">
        <v>297</v>
      </c>
      <c r="P261" s="157" t="s">
        <v>144</v>
      </c>
      <c r="Q261" s="157" t="s">
        <v>261</v>
      </c>
      <c r="R261" s="158">
        <v>7</v>
      </c>
      <c r="S261" s="159"/>
      <c r="T261" s="159"/>
      <c r="U261" s="160"/>
      <c r="V261" s="161"/>
      <c r="W261" s="162"/>
      <c r="X261" s="160"/>
      <c r="Y261" s="163"/>
    </row>
    <row r="262" spans="1:25" ht="45.75" customHeight="1">
      <c r="A262" s="151">
        <v>261</v>
      </c>
      <c r="B262" s="152" t="s">
        <v>25</v>
      </c>
      <c r="C262" s="151" t="s">
        <v>1170</v>
      </c>
      <c r="D262" s="153" t="s">
        <v>1171</v>
      </c>
      <c r="E262" s="151" t="s">
        <v>28</v>
      </c>
      <c r="F262" s="151" t="s">
        <v>1172</v>
      </c>
      <c r="G262" s="151" t="s">
        <v>134</v>
      </c>
      <c r="H262" s="151" t="s">
        <v>1173</v>
      </c>
      <c r="I262" s="154" t="s">
        <v>811</v>
      </c>
      <c r="J262" s="155">
        <v>45371</v>
      </c>
      <c r="K262" s="151">
        <v>2024</v>
      </c>
      <c r="L262" s="155">
        <v>45373</v>
      </c>
      <c r="M262" s="156">
        <v>0.30763888888888902</v>
      </c>
      <c r="N262" s="157" t="s">
        <v>1174</v>
      </c>
      <c r="O262" s="157" t="s">
        <v>297</v>
      </c>
      <c r="P262" s="157" t="s">
        <v>144</v>
      </c>
      <c r="Q262" s="157" t="s">
        <v>1175</v>
      </c>
      <c r="R262" s="158">
        <v>2</v>
      </c>
      <c r="S262" s="159"/>
      <c r="T262" s="159"/>
      <c r="U262" s="160"/>
      <c r="V262" s="161"/>
      <c r="W262" s="162"/>
      <c r="X262" s="160"/>
      <c r="Y262" s="163"/>
    </row>
    <row r="263" spans="1:25" ht="30.75" customHeight="1">
      <c r="A263" s="151">
        <v>262</v>
      </c>
      <c r="B263" s="152" t="s">
        <v>25</v>
      </c>
      <c r="C263" s="151" t="s">
        <v>1176</v>
      </c>
      <c r="D263" s="153" t="s">
        <v>1177</v>
      </c>
      <c r="E263" s="151" t="s">
        <v>49</v>
      </c>
      <c r="F263" s="151" t="s">
        <v>569</v>
      </c>
      <c r="G263" s="151" t="s">
        <v>134</v>
      </c>
      <c r="H263" s="151" t="s">
        <v>1178</v>
      </c>
      <c r="I263" s="154" t="s">
        <v>1179</v>
      </c>
      <c r="J263" s="155">
        <v>45369</v>
      </c>
      <c r="K263" s="151">
        <v>2024</v>
      </c>
      <c r="L263" s="155">
        <v>45372</v>
      </c>
      <c r="M263" s="156">
        <v>0.45833333333333298</v>
      </c>
      <c r="N263" s="157" t="s">
        <v>1180</v>
      </c>
      <c r="O263" s="157" t="s">
        <v>250</v>
      </c>
      <c r="P263" s="157" t="s">
        <v>34</v>
      </c>
      <c r="Q263" s="157" t="s">
        <v>104</v>
      </c>
      <c r="R263" s="158">
        <v>3</v>
      </c>
      <c r="S263" s="159"/>
      <c r="T263" s="159"/>
      <c r="U263" s="160"/>
      <c r="V263" s="161"/>
      <c r="W263" s="162"/>
      <c r="X263" s="160"/>
      <c r="Y263" s="163"/>
    </row>
    <row r="264" spans="1:25" ht="34.5" customHeight="1">
      <c r="A264" s="151">
        <v>263</v>
      </c>
      <c r="B264" s="152" t="s">
        <v>25</v>
      </c>
      <c r="C264" s="151" t="s">
        <v>1181</v>
      </c>
      <c r="D264" s="153" t="s">
        <v>1182</v>
      </c>
      <c r="E264" s="151" t="s">
        <v>49</v>
      </c>
      <c r="F264" s="151" t="s">
        <v>358</v>
      </c>
      <c r="G264" s="151" t="s">
        <v>134</v>
      </c>
      <c r="H264" s="151" t="s">
        <v>1183</v>
      </c>
      <c r="I264" s="154" t="s">
        <v>970</v>
      </c>
      <c r="J264" s="155">
        <v>45376</v>
      </c>
      <c r="K264" s="151">
        <v>2024</v>
      </c>
      <c r="L264" s="155">
        <v>45376</v>
      </c>
      <c r="M264" s="156">
        <v>0.43055555555555602</v>
      </c>
      <c r="N264" s="157" t="s">
        <v>64</v>
      </c>
      <c r="O264" s="157" t="s">
        <v>1184</v>
      </c>
      <c r="P264" s="157" t="s">
        <v>34</v>
      </c>
      <c r="Q264" s="157" t="s">
        <v>35</v>
      </c>
      <c r="R264" s="158">
        <v>0</v>
      </c>
      <c r="S264" s="159"/>
      <c r="T264" s="159"/>
      <c r="U264" s="160"/>
      <c r="V264" s="161"/>
      <c r="W264" s="162"/>
      <c r="X264" s="160"/>
      <c r="Y264" s="163"/>
    </row>
    <row r="265" spans="1:25" ht="30">
      <c r="A265" s="151">
        <v>264</v>
      </c>
      <c r="B265" s="152" t="s">
        <v>25</v>
      </c>
      <c r="C265" s="151" t="s">
        <v>1185</v>
      </c>
      <c r="D265" s="153" t="s">
        <v>1186</v>
      </c>
      <c r="E265" s="151" t="s">
        <v>28</v>
      </c>
      <c r="F265" s="151" t="s">
        <v>1187</v>
      </c>
      <c r="G265" s="151" t="s">
        <v>149</v>
      </c>
      <c r="H265" s="151" t="s">
        <v>1188</v>
      </c>
      <c r="I265" s="154" t="s">
        <v>1188</v>
      </c>
      <c r="J265" s="155">
        <v>45411</v>
      </c>
      <c r="K265" s="151">
        <v>2024</v>
      </c>
      <c r="L265" s="155">
        <v>45415</v>
      </c>
      <c r="M265" s="156">
        <v>0.75</v>
      </c>
      <c r="N265" s="157" t="s">
        <v>776</v>
      </c>
      <c r="O265" s="157" t="s">
        <v>1189</v>
      </c>
      <c r="P265" s="157" t="s">
        <v>34</v>
      </c>
      <c r="Q265" s="157" t="s">
        <v>1190</v>
      </c>
      <c r="R265" s="158">
        <v>0</v>
      </c>
      <c r="S265" s="159"/>
      <c r="T265" s="159"/>
      <c r="U265" s="160"/>
      <c r="V265" s="161"/>
      <c r="W265" s="162"/>
      <c r="X265" s="160"/>
      <c r="Y265" s="163"/>
    </row>
    <row r="266" spans="1:25" ht="30.75" customHeight="1">
      <c r="A266" s="151">
        <v>265</v>
      </c>
      <c r="B266" s="152" t="s">
        <v>25</v>
      </c>
      <c r="C266" s="151" t="s">
        <v>1191</v>
      </c>
      <c r="D266" s="153" t="s">
        <v>738</v>
      </c>
      <c r="E266" s="151" t="s">
        <v>49</v>
      </c>
      <c r="F266" s="151" t="s">
        <v>358</v>
      </c>
      <c r="G266" s="151" t="s">
        <v>244</v>
      </c>
      <c r="H266" s="151" t="s">
        <v>1192</v>
      </c>
      <c r="I266" s="154" t="s">
        <v>970</v>
      </c>
      <c r="J266" s="155">
        <v>45419</v>
      </c>
      <c r="K266" s="151">
        <v>2024</v>
      </c>
      <c r="L266" s="155" t="s">
        <v>1193</v>
      </c>
      <c r="M266" s="156">
        <v>0.41666666666666702</v>
      </c>
      <c r="N266" s="157" t="s">
        <v>1194</v>
      </c>
      <c r="O266" s="157" t="s">
        <v>1195</v>
      </c>
      <c r="P266" s="157" t="s">
        <v>34</v>
      </c>
      <c r="Q266" s="157" t="s">
        <v>974</v>
      </c>
      <c r="R266" s="158">
        <v>3</v>
      </c>
      <c r="S266" s="159"/>
      <c r="T266" s="159"/>
      <c r="U266" s="160"/>
      <c r="V266" s="161"/>
      <c r="W266" s="162"/>
      <c r="X266" s="160"/>
      <c r="Y266" s="163"/>
    </row>
    <row r="267" spans="1:25" ht="27" customHeight="1">
      <c r="A267" s="151">
        <v>266</v>
      </c>
      <c r="B267" s="152" t="s">
        <v>25</v>
      </c>
      <c r="C267" s="151" t="s">
        <v>1196</v>
      </c>
      <c r="D267" s="153" t="s">
        <v>1197</v>
      </c>
      <c r="E267" s="151" t="s">
        <v>49</v>
      </c>
      <c r="F267" s="151" t="s">
        <v>358</v>
      </c>
      <c r="G267" s="151" t="s">
        <v>244</v>
      </c>
      <c r="H267" s="151" t="s">
        <v>1198</v>
      </c>
      <c r="I267" s="154" t="s">
        <v>1082</v>
      </c>
      <c r="J267" s="155">
        <v>45426</v>
      </c>
      <c r="K267" s="151">
        <v>2024</v>
      </c>
      <c r="L267" s="155">
        <v>45429</v>
      </c>
      <c r="M267" s="156">
        <v>0.40625</v>
      </c>
      <c r="N267" s="157" t="s">
        <v>221</v>
      </c>
      <c r="O267" s="157" t="s">
        <v>1199</v>
      </c>
      <c r="P267" s="157" t="s">
        <v>34</v>
      </c>
      <c r="Q267" s="157" t="s">
        <v>1022</v>
      </c>
      <c r="R267" s="158">
        <v>3</v>
      </c>
      <c r="S267" s="159"/>
      <c r="T267" s="159"/>
      <c r="U267" s="160"/>
      <c r="V267" s="161"/>
      <c r="W267" s="162"/>
      <c r="X267" s="160"/>
      <c r="Y267" s="163"/>
    </row>
    <row r="268" spans="1:25" ht="30" customHeight="1">
      <c r="A268" s="151">
        <v>267</v>
      </c>
      <c r="B268" s="152" t="s">
        <v>25</v>
      </c>
      <c r="C268" s="151" t="s">
        <v>1200</v>
      </c>
      <c r="D268" s="153" t="s">
        <v>1201</v>
      </c>
      <c r="E268" s="151" t="s">
        <v>49</v>
      </c>
      <c r="F268" s="151" t="s">
        <v>358</v>
      </c>
      <c r="G268" s="151" t="s">
        <v>244</v>
      </c>
      <c r="H268" s="151" t="s">
        <v>1202</v>
      </c>
      <c r="I268" s="154" t="s">
        <v>1203</v>
      </c>
      <c r="J268" s="155">
        <v>45421</v>
      </c>
      <c r="K268" s="151">
        <v>2024</v>
      </c>
      <c r="L268" s="155">
        <v>45433</v>
      </c>
      <c r="M268" s="156">
        <v>0.46250000000000002</v>
      </c>
      <c r="N268" s="157" t="s">
        <v>616</v>
      </c>
      <c r="O268" s="157" t="s">
        <v>1204</v>
      </c>
      <c r="P268" s="157" t="s">
        <v>34</v>
      </c>
      <c r="Q268" s="157" t="s">
        <v>848</v>
      </c>
      <c r="R268" s="158">
        <v>2</v>
      </c>
      <c r="S268" s="159"/>
      <c r="T268" s="159"/>
      <c r="U268" s="160"/>
      <c r="V268" s="161"/>
      <c r="W268" s="162"/>
      <c r="X268" s="160"/>
      <c r="Y268" s="163"/>
    </row>
    <row r="269" spans="1:25" ht="16.5" customHeight="1">
      <c r="A269" s="151">
        <v>268</v>
      </c>
      <c r="B269" s="152" t="s">
        <v>25</v>
      </c>
      <c r="C269" s="151" t="s">
        <v>1205</v>
      </c>
      <c r="D269" s="153" t="s">
        <v>1206</v>
      </c>
      <c r="E269" s="151" t="s">
        <v>49</v>
      </c>
      <c r="F269" s="151" t="s">
        <v>156</v>
      </c>
      <c r="G269" s="151" t="s">
        <v>244</v>
      </c>
      <c r="H269" s="151" t="s">
        <v>1192</v>
      </c>
      <c r="I269" s="154" t="s">
        <v>1163</v>
      </c>
      <c r="J269" s="155">
        <v>45440</v>
      </c>
      <c r="K269" s="151">
        <v>2024</v>
      </c>
      <c r="L269" s="155">
        <v>45441</v>
      </c>
      <c r="M269" s="156">
        <v>0.45833333333333298</v>
      </c>
      <c r="N269" s="157" t="s">
        <v>64</v>
      </c>
      <c r="O269" s="157" t="s">
        <v>1207</v>
      </c>
      <c r="P269" s="157" t="s">
        <v>34</v>
      </c>
      <c r="Q269" s="157" t="s">
        <v>1159</v>
      </c>
      <c r="R269" s="158">
        <v>0</v>
      </c>
      <c r="S269" s="159"/>
      <c r="T269" s="159"/>
      <c r="U269" s="160"/>
      <c r="V269" s="161"/>
      <c r="W269" s="162"/>
      <c r="X269" s="160"/>
      <c r="Y269" s="163"/>
    </row>
    <row r="270" spans="1:25" ht="15">
      <c r="A270" s="151">
        <v>269</v>
      </c>
      <c r="B270" s="152" t="s">
        <v>25</v>
      </c>
      <c r="C270" s="151" t="s">
        <v>1205</v>
      </c>
      <c r="D270" s="153" t="s">
        <v>877</v>
      </c>
      <c r="E270" s="151" t="s">
        <v>49</v>
      </c>
      <c r="F270" s="151" t="s">
        <v>148</v>
      </c>
      <c r="G270" s="151" t="s">
        <v>82</v>
      </c>
      <c r="H270" s="151" t="s">
        <v>112</v>
      </c>
      <c r="I270" s="154" t="s">
        <v>1208</v>
      </c>
      <c r="J270" s="155">
        <v>45446</v>
      </c>
      <c r="K270" s="151">
        <v>2024</v>
      </c>
      <c r="L270" s="155">
        <v>45446</v>
      </c>
      <c r="M270" s="156">
        <v>0.65625</v>
      </c>
      <c r="N270" s="157" t="s">
        <v>64</v>
      </c>
      <c r="O270" s="157" t="s">
        <v>590</v>
      </c>
      <c r="P270" s="157" t="s">
        <v>34</v>
      </c>
      <c r="Q270" s="157" t="s">
        <v>35</v>
      </c>
      <c r="R270" s="158">
        <v>0</v>
      </c>
      <c r="S270" s="159"/>
      <c r="T270" s="159"/>
      <c r="U270" s="160"/>
      <c r="V270" s="161"/>
      <c r="W270" s="162"/>
      <c r="X270" s="160"/>
      <c r="Y270" s="163"/>
    </row>
    <row r="271" spans="1:25" ht="28.5" customHeight="1">
      <c r="A271" s="151">
        <v>270</v>
      </c>
      <c r="B271" s="152" t="s">
        <v>25</v>
      </c>
      <c r="C271" s="151" t="s">
        <v>1209</v>
      </c>
      <c r="D271" s="153" t="s">
        <v>1210</v>
      </c>
      <c r="E271" s="151" t="s">
        <v>49</v>
      </c>
      <c r="F271" s="151" t="s">
        <v>148</v>
      </c>
      <c r="G271" s="151" t="s">
        <v>82</v>
      </c>
      <c r="H271" s="151" t="s">
        <v>1211</v>
      </c>
      <c r="I271" s="154" t="s">
        <v>1212</v>
      </c>
      <c r="J271" s="155">
        <v>45446</v>
      </c>
      <c r="K271" s="151">
        <v>2024</v>
      </c>
      <c r="L271" s="155">
        <v>45446</v>
      </c>
      <c r="M271" s="156">
        <v>0.50694444444444398</v>
      </c>
      <c r="N271" s="157" t="s">
        <v>64</v>
      </c>
      <c r="O271" s="157" t="s">
        <v>1213</v>
      </c>
      <c r="P271" s="157" t="s">
        <v>34</v>
      </c>
      <c r="Q271" s="157" t="s">
        <v>35</v>
      </c>
      <c r="R271" s="158">
        <v>0</v>
      </c>
      <c r="S271" s="159"/>
      <c r="T271" s="159"/>
      <c r="U271" s="160"/>
      <c r="V271" s="161"/>
      <c r="W271" s="162"/>
      <c r="X271" s="160"/>
      <c r="Y271" s="163"/>
    </row>
    <row r="272" spans="1:25" ht="33" customHeight="1">
      <c r="A272" s="151">
        <v>271</v>
      </c>
      <c r="B272" s="152" t="s">
        <v>25</v>
      </c>
      <c r="C272" s="151" t="s">
        <v>1214</v>
      </c>
      <c r="D272" s="153" t="s">
        <v>1215</v>
      </c>
      <c r="E272" s="151" t="s">
        <v>49</v>
      </c>
      <c r="F272" s="151" t="s">
        <v>358</v>
      </c>
      <c r="G272" s="151" t="s">
        <v>82</v>
      </c>
      <c r="H272" s="151" t="s">
        <v>1136</v>
      </c>
      <c r="I272" s="154" t="s">
        <v>1216</v>
      </c>
      <c r="J272" s="155">
        <v>45448</v>
      </c>
      <c r="K272" s="151">
        <v>2024</v>
      </c>
      <c r="L272" s="155">
        <v>45449</v>
      </c>
      <c r="M272" s="156">
        <v>0.51041666666666696</v>
      </c>
      <c r="N272" s="157" t="s">
        <v>64</v>
      </c>
      <c r="O272" s="157" t="s">
        <v>1217</v>
      </c>
      <c r="P272" s="157" t="s">
        <v>34</v>
      </c>
      <c r="Q272" s="157" t="s">
        <v>35</v>
      </c>
      <c r="R272" s="158">
        <v>0</v>
      </c>
      <c r="S272" s="159"/>
      <c r="T272" s="159"/>
      <c r="U272" s="160"/>
      <c r="V272" s="161"/>
      <c r="W272" s="162"/>
      <c r="X272" s="160"/>
      <c r="Y272" s="163"/>
    </row>
    <row r="273" spans="1:25" ht="29.25" customHeight="1">
      <c r="A273" s="151">
        <v>272</v>
      </c>
      <c r="B273" s="152" t="s">
        <v>25</v>
      </c>
      <c r="C273" s="151" t="s">
        <v>1218</v>
      </c>
      <c r="D273" s="153" t="s">
        <v>1219</v>
      </c>
      <c r="E273" s="151" t="s">
        <v>49</v>
      </c>
      <c r="F273" s="151" t="s">
        <v>358</v>
      </c>
      <c r="G273" s="151" t="s">
        <v>82</v>
      </c>
      <c r="H273" s="151" t="s">
        <v>1220</v>
      </c>
      <c r="I273" s="154" t="s">
        <v>1220</v>
      </c>
      <c r="J273" s="155">
        <v>45455</v>
      </c>
      <c r="K273" s="151">
        <v>2024</v>
      </c>
      <c r="L273" s="155">
        <v>45455</v>
      </c>
      <c r="M273" s="156">
        <v>0.49652777777777801</v>
      </c>
      <c r="N273" s="157" t="s">
        <v>1221</v>
      </c>
      <c r="O273" s="157" t="s">
        <v>1222</v>
      </c>
      <c r="P273" s="157" t="s">
        <v>34</v>
      </c>
      <c r="Q273" s="157" t="s">
        <v>35</v>
      </c>
      <c r="R273" s="158">
        <v>0</v>
      </c>
      <c r="S273" s="159"/>
      <c r="T273" s="159"/>
      <c r="U273" s="160"/>
      <c r="V273" s="161"/>
      <c r="W273" s="162"/>
      <c r="X273" s="160"/>
      <c r="Y273" s="163"/>
    </row>
    <row r="274" spans="1:25" ht="30">
      <c r="A274" s="151">
        <v>273</v>
      </c>
      <c r="B274" s="152" t="s">
        <v>25</v>
      </c>
      <c r="C274" s="151" t="s">
        <v>1223</v>
      </c>
      <c r="D274" s="153" t="s">
        <v>1224</v>
      </c>
      <c r="E274" s="151" t="s">
        <v>49</v>
      </c>
      <c r="F274" s="151" t="s">
        <v>156</v>
      </c>
      <c r="G274" s="151" t="s">
        <v>82</v>
      </c>
      <c r="H274" s="151" t="s">
        <v>1225</v>
      </c>
      <c r="I274" s="154" t="s">
        <v>1225</v>
      </c>
      <c r="J274" s="155">
        <v>45456</v>
      </c>
      <c r="K274" s="151">
        <v>2024</v>
      </c>
      <c r="L274" s="155">
        <v>45463</v>
      </c>
      <c r="M274" s="156">
        <v>0.5</v>
      </c>
      <c r="N274" s="157" t="s">
        <v>1226</v>
      </c>
      <c r="O274" s="157" t="s">
        <v>1227</v>
      </c>
      <c r="P274" s="157" t="s">
        <v>34</v>
      </c>
      <c r="Q274" s="157" t="s">
        <v>1159</v>
      </c>
      <c r="R274" s="158">
        <v>0</v>
      </c>
      <c r="S274" s="159"/>
      <c r="T274" s="159"/>
      <c r="U274" s="160"/>
      <c r="V274" s="161"/>
      <c r="W274" s="162"/>
      <c r="X274" s="160"/>
      <c r="Y274" s="163"/>
    </row>
    <row r="275" spans="1:25" ht="27.75" customHeight="1">
      <c r="A275" s="151">
        <v>274</v>
      </c>
      <c r="B275" s="152" t="s">
        <v>25</v>
      </c>
      <c r="C275" s="164" t="s">
        <v>1228</v>
      </c>
      <c r="D275" s="153" t="s">
        <v>958</v>
      </c>
      <c r="E275" s="151" t="s">
        <v>49</v>
      </c>
      <c r="F275" s="151" t="s">
        <v>358</v>
      </c>
      <c r="G275" s="151" t="s">
        <v>82</v>
      </c>
      <c r="H275" s="151" t="s">
        <v>1225</v>
      </c>
      <c r="I275" s="154" t="s">
        <v>1225</v>
      </c>
      <c r="J275" s="155">
        <v>45450</v>
      </c>
      <c r="K275" s="151">
        <v>2024</v>
      </c>
      <c r="L275" s="155">
        <v>45488</v>
      </c>
      <c r="M275" s="156">
        <v>0.41319444444444398</v>
      </c>
      <c r="N275" s="157" t="s">
        <v>1229</v>
      </c>
      <c r="O275" s="157" t="s">
        <v>606</v>
      </c>
      <c r="P275" s="157" t="s">
        <v>34</v>
      </c>
      <c r="Q275" s="157" t="s">
        <v>1230</v>
      </c>
      <c r="R275" s="158">
        <v>0</v>
      </c>
      <c r="S275" s="159"/>
      <c r="T275" s="159"/>
      <c r="U275" s="160"/>
      <c r="V275" s="161"/>
      <c r="W275" s="162"/>
      <c r="X275" s="160"/>
      <c r="Y275" s="163"/>
    </row>
    <row r="276" spans="1:25" ht="33" customHeight="1">
      <c r="A276" s="151">
        <v>275</v>
      </c>
      <c r="B276" s="152" t="s">
        <v>25</v>
      </c>
      <c r="C276" s="151" t="s">
        <v>1231</v>
      </c>
      <c r="D276" s="153" t="s">
        <v>1232</v>
      </c>
      <c r="E276" s="151" t="s">
        <v>49</v>
      </c>
      <c r="F276" s="151" t="s">
        <v>148</v>
      </c>
      <c r="G276" s="151" t="s">
        <v>157</v>
      </c>
      <c r="H276" s="151" t="s">
        <v>1233</v>
      </c>
      <c r="I276" s="154" t="s">
        <v>1233</v>
      </c>
      <c r="J276" s="155">
        <v>45483</v>
      </c>
      <c r="K276" s="151">
        <v>2024</v>
      </c>
      <c r="L276" s="155">
        <v>45484</v>
      </c>
      <c r="M276" s="156">
        <v>0.66666666666666696</v>
      </c>
      <c r="N276" s="157" t="s">
        <v>142</v>
      </c>
      <c r="O276" s="157" t="s">
        <v>1234</v>
      </c>
      <c r="P276" s="157" t="s">
        <v>34</v>
      </c>
      <c r="Q276" s="157" t="s">
        <v>1235</v>
      </c>
      <c r="R276" s="158">
        <v>0</v>
      </c>
      <c r="S276" s="159"/>
      <c r="T276" s="159"/>
      <c r="U276" s="160"/>
      <c r="V276" s="161"/>
      <c r="W276" s="162"/>
      <c r="X276" s="160"/>
      <c r="Y276" s="163"/>
    </row>
    <row r="277" spans="1:25" ht="30.75" customHeight="1">
      <c r="A277" s="151">
        <v>276</v>
      </c>
      <c r="B277" s="152" t="s">
        <v>25</v>
      </c>
      <c r="C277" s="151" t="s">
        <v>1236</v>
      </c>
      <c r="D277" s="153" t="s">
        <v>1237</v>
      </c>
      <c r="E277" s="151" t="s">
        <v>49</v>
      </c>
      <c r="F277" s="151" t="s">
        <v>358</v>
      </c>
      <c r="G277" s="151" t="s">
        <v>157</v>
      </c>
      <c r="H277" s="151" t="s">
        <v>511</v>
      </c>
      <c r="I277" s="154" t="s">
        <v>511</v>
      </c>
      <c r="J277" s="155">
        <v>45485</v>
      </c>
      <c r="K277" s="151">
        <v>2024</v>
      </c>
      <c r="L277" s="155">
        <v>45492</v>
      </c>
      <c r="M277" s="156">
        <v>0.85416666666666696</v>
      </c>
      <c r="N277" s="157" t="s">
        <v>1229</v>
      </c>
      <c r="O277" s="157" t="s">
        <v>240</v>
      </c>
      <c r="P277" s="157" t="s">
        <v>34</v>
      </c>
      <c r="Q277" s="157" t="s">
        <v>1097</v>
      </c>
      <c r="R277" s="158">
        <v>0</v>
      </c>
      <c r="S277" s="159"/>
      <c r="T277" s="159"/>
      <c r="U277" s="160"/>
      <c r="V277" s="161"/>
      <c r="W277" s="162"/>
      <c r="X277" s="160"/>
      <c r="Y277" s="163"/>
    </row>
    <row r="278" spans="1:25" ht="15">
      <c r="A278" s="151">
        <v>277</v>
      </c>
      <c r="B278" s="152" t="s">
        <v>25</v>
      </c>
      <c r="C278" s="151" t="s">
        <v>1238</v>
      </c>
      <c r="D278" s="153" t="s">
        <v>1239</v>
      </c>
      <c r="E278" s="151" t="s">
        <v>49</v>
      </c>
      <c r="F278" s="151" t="s">
        <v>1240</v>
      </c>
      <c r="G278" s="151" t="s">
        <v>157</v>
      </c>
      <c r="H278" s="151" t="s">
        <v>436</v>
      </c>
      <c r="I278" s="154" t="s">
        <v>1241</v>
      </c>
      <c r="J278" s="155">
        <v>45503</v>
      </c>
      <c r="K278" s="151">
        <v>2024</v>
      </c>
      <c r="L278" s="155">
        <v>45503</v>
      </c>
      <c r="M278" s="156">
        <v>0.25</v>
      </c>
      <c r="N278" s="157" t="s">
        <v>64</v>
      </c>
      <c r="O278" s="157" t="s">
        <v>1242</v>
      </c>
      <c r="P278" s="157" t="s">
        <v>144</v>
      </c>
      <c r="Q278" s="157" t="s">
        <v>1243</v>
      </c>
      <c r="R278" s="158">
        <v>2</v>
      </c>
      <c r="S278" s="159"/>
      <c r="T278" s="159"/>
      <c r="U278" s="160"/>
      <c r="V278" s="161"/>
      <c r="W278" s="162"/>
      <c r="X278" s="160"/>
      <c r="Y278" s="163"/>
    </row>
    <row r="279" spans="1:25" ht="30.75" customHeight="1">
      <c r="A279" s="151">
        <v>278</v>
      </c>
      <c r="B279" s="152" t="s">
        <v>25</v>
      </c>
      <c r="C279" s="151" t="s">
        <v>1244</v>
      </c>
      <c r="D279" s="153" t="s">
        <v>510</v>
      </c>
      <c r="E279" s="151" t="s">
        <v>49</v>
      </c>
      <c r="F279" s="151" t="s">
        <v>348</v>
      </c>
      <c r="G279" s="151" t="s">
        <v>157</v>
      </c>
      <c r="H279" s="165" t="s">
        <v>896</v>
      </c>
      <c r="I279" s="154" t="s">
        <v>896</v>
      </c>
      <c r="J279" s="155">
        <v>45546</v>
      </c>
      <c r="K279" s="151">
        <v>2024</v>
      </c>
      <c r="L279" s="155">
        <v>45546</v>
      </c>
      <c r="M279" s="156">
        <v>0.32291666666666702</v>
      </c>
      <c r="N279" s="157" t="s">
        <v>125</v>
      </c>
      <c r="O279" s="157" t="s">
        <v>440</v>
      </c>
      <c r="P279" s="157" t="s">
        <v>34</v>
      </c>
      <c r="Q279" s="157" t="s">
        <v>1159</v>
      </c>
      <c r="R279" s="158">
        <v>0</v>
      </c>
      <c r="S279" s="159" t="s">
        <v>1245</v>
      </c>
      <c r="T279" s="159" t="s">
        <v>1246</v>
      </c>
      <c r="U279" s="166" t="s">
        <v>37</v>
      </c>
      <c r="V279" s="167" t="s">
        <v>37</v>
      </c>
      <c r="W279" s="168" t="e">
        <f ca="1">V279-TODAY()</f>
        <v>#VALUE!</v>
      </c>
      <c r="X279" s="166" t="s">
        <v>38</v>
      </c>
      <c r="Y279" s="163"/>
    </row>
    <row r="280" spans="1:25" ht="39.75" customHeight="1">
      <c r="A280" s="151">
        <v>279</v>
      </c>
      <c r="B280" s="152" t="s">
        <v>25</v>
      </c>
      <c r="C280" s="151" t="s">
        <v>1247</v>
      </c>
      <c r="D280" s="153" t="s">
        <v>1248</v>
      </c>
      <c r="E280" s="151" t="s">
        <v>49</v>
      </c>
      <c r="F280" s="151" t="s">
        <v>348</v>
      </c>
      <c r="G280" s="151" t="s">
        <v>50</v>
      </c>
      <c r="H280" s="165" t="s">
        <v>436</v>
      </c>
      <c r="I280" s="154" t="s">
        <v>1225</v>
      </c>
      <c r="J280" s="155">
        <v>45539</v>
      </c>
      <c r="K280" s="151">
        <v>2024</v>
      </c>
      <c r="L280" s="155">
        <v>45547</v>
      </c>
      <c r="M280" s="156">
        <v>0.79166666666666696</v>
      </c>
      <c r="N280" s="157" t="s">
        <v>1249</v>
      </c>
      <c r="O280" s="157" t="s">
        <v>53</v>
      </c>
      <c r="P280" s="157" t="s">
        <v>144</v>
      </c>
      <c r="Q280" s="157" t="s">
        <v>1250</v>
      </c>
      <c r="R280" s="158">
        <v>1</v>
      </c>
      <c r="S280" s="159"/>
      <c r="T280" s="159"/>
      <c r="U280" s="166"/>
      <c r="V280" s="167"/>
      <c r="W280" s="168"/>
      <c r="X280" s="166"/>
      <c r="Y280" s="163"/>
    </row>
    <row r="281" spans="1:25" ht="30.75" customHeight="1">
      <c r="A281" s="151">
        <v>280</v>
      </c>
      <c r="B281" s="152" t="s">
        <v>25</v>
      </c>
      <c r="C281" s="151" t="s">
        <v>1251</v>
      </c>
      <c r="D281" s="153" t="s">
        <v>1252</v>
      </c>
      <c r="E281" s="151" t="s">
        <v>49</v>
      </c>
      <c r="F281" s="151" t="s">
        <v>348</v>
      </c>
      <c r="G281" s="151" t="s">
        <v>50</v>
      </c>
      <c r="H281" s="165" t="s">
        <v>436</v>
      </c>
      <c r="I281" s="154" t="s">
        <v>1225</v>
      </c>
      <c r="J281" s="155">
        <v>45539</v>
      </c>
      <c r="K281" s="151">
        <v>2024</v>
      </c>
      <c r="L281" s="155">
        <v>45547</v>
      </c>
      <c r="M281" s="156">
        <v>0.79166666666666696</v>
      </c>
      <c r="N281" s="157" t="s">
        <v>1253</v>
      </c>
      <c r="O281" s="157" t="s">
        <v>53</v>
      </c>
      <c r="P281" s="157" t="s">
        <v>144</v>
      </c>
      <c r="Q281" s="157" t="s">
        <v>1254</v>
      </c>
      <c r="R281" s="158">
        <v>1</v>
      </c>
      <c r="S281" s="159"/>
      <c r="T281" s="159"/>
      <c r="U281" s="160"/>
      <c r="V281" s="161"/>
      <c r="W281" s="162"/>
      <c r="X281" s="160"/>
      <c r="Y281" s="163"/>
    </row>
    <row r="282" spans="1:25" ht="30.75" customHeight="1">
      <c r="A282" s="169">
        <v>281</v>
      </c>
      <c r="B282" s="170" t="s">
        <v>25</v>
      </c>
      <c r="C282" s="151" t="s">
        <v>1255</v>
      </c>
      <c r="D282" s="153" t="s">
        <v>627</v>
      </c>
      <c r="E282" s="151" t="s">
        <v>28</v>
      </c>
      <c r="F282" s="151" t="s">
        <v>1256</v>
      </c>
      <c r="G282" s="151" t="s">
        <v>157</v>
      </c>
      <c r="H282" s="165" t="s">
        <v>1220</v>
      </c>
      <c r="I282" s="154" t="s">
        <v>1220</v>
      </c>
      <c r="J282" s="155">
        <v>45496</v>
      </c>
      <c r="K282" s="151">
        <v>2024</v>
      </c>
      <c r="L282" s="155">
        <v>45547</v>
      </c>
      <c r="M282" s="156">
        <v>0.375</v>
      </c>
      <c r="N282" s="157" t="s">
        <v>32</v>
      </c>
      <c r="O282" s="157" t="s">
        <v>1257</v>
      </c>
      <c r="P282" s="157" t="s">
        <v>34</v>
      </c>
      <c r="Q282" s="157" t="s">
        <v>35</v>
      </c>
      <c r="R282" s="158">
        <v>0</v>
      </c>
      <c r="S282" s="159"/>
      <c r="T282" s="159"/>
      <c r="U282" s="160"/>
      <c r="V282" s="161"/>
      <c r="W282" s="162"/>
      <c r="X282" s="160"/>
      <c r="Y282" s="163"/>
    </row>
    <row r="283" spans="1:25" ht="29.25" customHeight="1">
      <c r="A283" s="169">
        <v>282</v>
      </c>
      <c r="B283" s="170" t="s">
        <v>25</v>
      </c>
      <c r="C283" s="151" t="s">
        <v>1258</v>
      </c>
      <c r="D283" s="153" t="s">
        <v>1259</v>
      </c>
      <c r="E283" s="151" t="s">
        <v>49</v>
      </c>
      <c r="F283" s="151" t="s">
        <v>156</v>
      </c>
      <c r="G283" s="151" t="s">
        <v>50</v>
      </c>
      <c r="H283" s="165" t="s">
        <v>1220</v>
      </c>
      <c r="I283" s="154" t="s">
        <v>1260</v>
      </c>
      <c r="J283" s="155">
        <v>45547</v>
      </c>
      <c r="K283" s="151">
        <v>2024</v>
      </c>
      <c r="L283" s="155">
        <v>45553</v>
      </c>
      <c r="M283" s="156">
        <v>0.99305555555555602</v>
      </c>
      <c r="N283" s="157" t="s">
        <v>1261</v>
      </c>
      <c r="O283" s="157" t="s">
        <v>1262</v>
      </c>
      <c r="P283" s="157" t="s">
        <v>34</v>
      </c>
      <c r="Q283" s="157" t="s">
        <v>718</v>
      </c>
      <c r="R283" s="158">
        <v>15</v>
      </c>
      <c r="S283" s="159"/>
      <c r="T283" s="159"/>
      <c r="U283" s="160"/>
      <c r="V283" s="161"/>
      <c r="W283" s="162"/>
      <c r="X283" s="160"/>
      <c r="Y283" s="163"/>
    </row>
    <row r="284" spans="1:25" ht="42" customHeight="1">
      <c r="A284" s="169">
        <v>283</v>
      </c>
      <c r="B284" s="170" t="s">
        <v>25</v>
      </c>
      <c r="C284" s="151" t="s">
        <v>1263</v>
      </c>
      <c r="D284" s="153" t="s">
        <v>1264</v>
      </c>
      <c r="E284" s="151" t="s">
        <v>49</v>
      </c>
      <c r="F284" s="151" t="s">
        <v>1265</v>
      </c>
      <c r="G284" s="151" t="s">
        <v>50</v>
      </c>
      <c r="H284" s="165" t="s">
        <v>1266</v>
      </c>
      <c r="I284" s="154" t="s">
        <v>1266</v>
      </c>
      <c r="J284" s="155">
        <v>45551</v>
      </c>
      <c r="K284" s="151">
        <v>2024</v>
      </c>
      <c r="L284" s="155">
        <v>45551</v>
      </c>
      <c r="M284" s="156">
        <v>0.375</v>
      </c>
      <c r="N284" s="157" t="s">
        <v>1267</v>
      </c>
      <c r="O284" s="157" t="s">
        <v>1009</v>
      </c>
      <c r="P284" s="157" t="s">
        <v>34</v>
      </c>
      <c r="Q284" s="157" t="s">
        <v>173</v>
      </c>
      <c r="R284" s="158">
        <v>5</v>
      </c>
      <c r="S284" s="159"/>
      <c r="T284" s="159"/>
      <c r="U284" s="160"/>
      <c r="V284" s="161"/>
      <c r="W284" s="162"/>
      <c r="X284" s="160"/>
      <c r="Y284" s="163"/>
    </row>
    <row r="285" spans="1:25" ht="40.5" customHeight="1">
      <c r="A285" s="169">
        <v>284</v>
      </c>
      <c r="B285" s="151" t="s">
        <v>25</v>
      </c>
      <c r="C285" s="151" t="s">
        <v>1268</v>
      </c>
      <c r="D285" s="153" t="s">
        <v>536</v>
      </c>
      <c r="E285" s="151" t="s">
        <v>49</v>
      </c>
      <c r="F285" s="151" t="s">
        <v>348</v>
      </c>
      <c r="G285" s="151" t="s">
        <v>50</v>
      </c>
      <c r="H285" s="165" t="s">
        <v>1269</v>
      </c>
      <c r="I285" s="154" t="s">
        <v>403</v>
      </c>
      <c r="J285" s="155">
        <v>45555</v>
      </c>
      <c r="K285" s="151">
        <v>2024</v>
      </c>
      <c r="L285" s="155">
        <v>45560</v>
      </c>
      <c r="M285" s="156">
        <v>0.76041666666666696</v>
      </c>
      <c r="N285" s="157" t="s">
        <v>1270</v>
      </c>
      <c r="O285" s="157" t="s">
        <v>1271</v>
      </c>
      <c r="P285" s="157" t="s">
        <v>34</v>
      </c>
      <c r="Q285" s="157" t="s">
        <v>1272</v>
      </c>
      <c r="R285" s="158">
        <v>0</v>
      </c>
      <c r="S285" s="159"/>
      <c r="T285" s="159"/>
      <c r="U285" s="160"/>
      <c r="V285" s="161"/>
      <c r="W285" s="162"/>
      <c r="X285" s="160"/>
      <c r="Y285" s="163"/>
    </row>
    <row r="286" spans="1:25" ht="27.75" customHeight="1">
      <c r="A286" s="169">
        <v>285</v>
      </c>
      <c r="B286" s="151" t="s">
        <v>25</v>
      </c>
      <c r="C286" s="151" t="s">
        <v>1273</v>
      </c>
      <c r="D286" s="153" t="s">
        <v>665</v>
      </c>
      <c r="E286" s="151" t="s">
        <v>49</v>
      </c>
      <c r="F286" s="151" t="s">
        <v>348</v>
      </c>
      <c r="G286" s="151" t="s">
        <v>41</v>
      </c>
      <c r="H286" s="165" t="s">
        <v>1274</v>
      </c>
      <c r="I286" s="154" t="s">
        <v>1275</v>
      </c>
      <c r="J286" s="155">
        <v>45566</v>
      </c>
      <c r="K286" s="151">
        <v>2024</v>
      </c>
      <c r="L286" s="155">
        <v>45566</v>
      </c>
      <c r="M286" s="156">
        <v>0.23958333333333301</v>
      </c>
      <c r="N286" s="157" t="s">
        <v>1276</v>
      </c>
      <c r="O286" s="157" t="s">
        <v>1277</v>
      </c>
      <c r="P286" s="157" t="s">
        <v>34</v>
      </c>
      <c r="Q286" s="157" t="s">
        <v>35</v>
      </c>
      <c r="R286" s="158">
        <v>0</v>
      </c>
      <c r="S286" s="159"/>
      <c r="T286" s="159"/>
      <c r="U286" s="160"/>
      <c r="V286" s="161"/>
      <c r="W286" s="162"/>
      <c r="X286" s="160"/>
      <c r="Y286" s="163"/>
    </row>
    <row r="287" spans="1:25" ht="29.25" customHeight="1">
      <c r="A287" s="169">
        <v>286</v>
      </c>
      <c r="B287" s="151" t="s">
        <v>25</v>
      </c>
      <c r="C287" s="151" t="s">
        <v>1278</v>
      </c>
      <c r="D287" s="153" t="s">
        <v>1279</v>
      </c>
      <c r="E287" s="151" t="s">
        <v>49</v>
      </c>
      <c r="F287" s="151" t="s">
        <v>348</v>
      </c>
      <c r="G287" s="151" t="s">
        <v>41</v>
      </c>
      <c r="H287" s="165" t="s">
        <v>1280</v>
      </c>
      <c r="I287" s="154" t="s">
        <v>644</v>
      </c>
      <c r="J287" s="155">
        <v>45581</v>
      </c>
      <c r="K287" s="151">
        <v>2024</v>
      </c>
      <c r="L287" s="155">
        <v>45581</v>
      </c>
      <c r="M287" s="156">
        <v>0.44444444444444398</v>
      </c>
      <c r="N287" s="157" t="s">
        <v>1281</v>
      </c>
      <c r="O287" s="157" t="s">
        <v>1282</v>
      </c>
      <c r="P287" s="157" t="s">
        <v>34</v>
      </c>
      <c r="Q287" s="157" t="s">
        <v>1283</v>
      </c>
      <c r="R287" s="158">
        <v>0</v>
      </c>
      <c r="S287" s="159"/>
      <c r="T287" s="159"/>
      <c r="U287" s="160"/>
      <c r="V287" s="161"/>
      <c r="W287" s="162"/>
      <c r="X287" s="160"/>
      <c r="Y287" s="163"/>
    </row>
    <row r="288" spans="1:25" ht="28.5" customHeight="1">
      <c r="A288" s="151">
        <v>287</v>
      </c>
      <c r="B288" s="171" t="s">
        <v>25</v>
      </c>
      <c r="C288" s="151" t="s">
        <v>1284</v>
      </c>
      <c r="D288" s="153" t="s">
        <v>1285</v>
      </c>
      <c r="E288" s="151" t="s">
        <v>49</v>
      </c>
      <c r="F288" s="151" t="s">
        <v>348</v>
      </c>
      <c r="G288" s="151" t="s">
        <v>41</v>
      </c>
      <c r="H288" s="165" t="s">
        <v>1286</v>
      </c>
      <c r="I288" s="154" t="s">
        <v>287</v>
      </c>
      <c r="J288" s="155">
        <v>45596</v>
      </c>
      <c r="K288" s="151">
        <v>2024</v>
      </c>
      <c r="L288" s="155">
        <v>45600</v>
      </c>
      <c r="M288" s="156">
        <v>0.60416666666666696</v>
      </c>
      <c r="N288" s="157" t="s">
        <v>1287</v>
      </c>
      <c r="O288" s="157" t="s">
        <v>1288</v>
      </c>
      <c r="P288" s="157" t="s">
        <v>34</v>
      </c>
      <c r="Q288" s="157" t="s">
        <v>66</v>
      </c>
      <c r="R288" s="158">
        <v>14</v>
      </c>
      <c r="S288" s="159"/>
      <c r="T288" s="159"/>
      <c r="U288" s="160"/>
      <c r="V288" s="161"/>
      <c r="W288" s="162"/>
      <c r="X288" s="160"/>
      <c r="Y288" s="163"/>
    </row>
    <row r="289" spans="1:25" ht="46.5" customHeight="1">
      <c r="A289" s="151">
        <v>288</v>
      </c>
      <c r="B289" s="171" t="s">
        <v>25</v>
      </c>
      <c r="C289" s="151" t="s">
        <v>1289</v>
      </c>
      <c r="D289" s="153" t="s">
        <v>1290</v>
      </c>
      <c r="E289" s="151" t="s">
        <v>49</v>
      </c>
      <c r="F289" s="151" t="s">
        <v>148</v>
      </c>
      <c r="G289" s="151" t="s">
        <v>56</v>
      </c>
      <c r="H289" s="165" t="s">
        <v>1291</v>
      </c>
      <c r="I289" s="154" t="s">
        <v>1291</v>
      </c>
      <c r="J289" s="155">
        <v>45614</v>
      </c>
      <c r="K289" s="151">
        <v>2024</v>
      </c>
      <c r="L289" s="155">
        <v>45615</v>
      </c>
      <c r="M289" s="156">
        <v>0.58333333333333304</v>
      </c>
      <c r="N289" s="157" t="s">
        <v>1292</v>
      </c>
      <c r="O289" s="157" t="s">
        <v>451</v>
      </c>
      <c r="P289" s="157" t="s">
        <v>34</v>
      </c>
      <c r="Q289" s="157" t="s">
        <v>35</v>
      </c>
      <c r="R289" s="158">
        <v>0</v>
      </c>
      <c r="S289" s="159"/>
      <c r="T289" s="159"/>
      <c r="U289" s="160"/>
      <c r="V289" s="161"/>
      <c r="W289" s="162"/>
      <c r="X289" s="160"/>
      <c r="Y289" s="163"/>
    </row>
    <row r="290" spans="1:25" ht="15">
      <c r="A290" s="169">
        <v>289</v>
      </c>
      <c r="B290" s="172" t="s">
        <v>25</v>
      </c>
      <c r="C290" s="151" t="s">
        <v>1293</v>
      </c>
      <c r="D290" s="153" t="s">
        <v>1294</v>
      </c>
      <c r="E290" s="151" t="s">
        <v>28</v>
      </c>
      <c r="F290" s="151" t="s">
        <v>123</v>
      </c>
      <c r="G290" s="151" t="s">
        <v>56</v>
      </c>
      <c r="H290" s="165" t="s">
        <v>1295</v>
      </c>
      <c r="I290" s="154" t="s">
        <v>1295</v>
      </c>
      <c r="J290" s="155">
        <v>45613</v>
      </c>
      <c r="K290" s="151">
        <v>2024</v>
      </c>
      <c r="L290" s="155">
        <v>45617</v>
      </c>
      <c r="M290" s="156">
        <v>0.61111111111111105</v>
      </c>
      <c r="N290" s="157" t="s">
        <v>735</v>
      </c>
      <c r="O290" s="157" t="s">
        <v>1296</v>
      </c>
      <c r="P290" s="157" t="s">
        <v>34</v>
      </c>
      <c r="Q290" s="157" t="s">
        <v>1159</v>
      </c>
      <c r="R290" s="158">
        <v>0</v>
      </c>
      <c r="S290" s="159"/>
      <c r="T290" s="159"/>
      <c r="U290" s="160"/>
      <c r="V290" s="161"/>
      <c r="W290" s="162"/>
      <c r="X290" s="160"/>
      <c r="Y290" s="163"/>
    </row>
    <row r="291" spans="1:25" ht="28.5" customHeight="1">
      <c r="A291" s="169">
        <v>290</v>
      </c>
      <c r="B291" s="169" t="s">
        <v>25</v>
      </c>
      <c r="C291" s="151" t="s">
        <v>1297</v>
      </c>
      <c r="D291" s="173" t="s">
        <v>1298</v>
      </c>
      <c r="E291" s="169" t="s">
        <v>28</v>
      </c>
      <c r="F291" s="169" t="s">
        <v>348</v>
      </c>
      <c r="G291" s="169" t="s">
        <v>56</v>
      </c>
      <c r="H291" s="174" t="s">
        <v>1299</v>
      </c>
      <c r="I291" s="175" t="s">
        <v>644</v>
      </c>
      <c r="J291" s="176">
        <v>45617</v>
      </c>
      <c r="K291" s="169">
        <v>2024</v>
      </c>
      <c r="L291" s="176">
        <v>45617</v>
      </c>
      <c r="M291" s="177">
        <v>0.33333333333333298</v>
      </c>
      <c r="N291" s="178" t="s">
        <v>564</v>
      </c>
      <c r="O291" s="178" t="s">
        <v>451</v>
      </c>
      <c r="P291" s="178" t="s">
        <v>34</v>
      </c>
      <c r="Q291" s="178" t="s">
        <v>35</v>
      </c>
      <c r="R291" s="179">
        <v>0</v>
      </c>
      <c r="S291" s="180"/>
      <c r="T291" s="180"/>
      <c r="U291" s="181"/>
      <c r="V291" s="182"/>
      <c r="W291" s="183"/>
      <c r="X291" s="181"/>
      <c r="Y291" s="184"/>
    </row>
    <row r="292" spans="1:25" ht="27" customHeight="1">
      <c r="A292" s="151">
        <v>291</v>
      </c>
      <c r="B292" s="151" t="s">
        <v>25</v>
      </c>
      <c r="C292" s="151" t="s">
        <v>1300</v>
      </c>
      <c r="D292" s="173" t="s">
        <v>1301</v>
      </c>
      <c r="E292" s="169" t="s">
        <v>49</v>
      </c>
      <c r="F292" s="169" t="s">
        <v>348</v>
      </c>
      <c r="G292" s="169" t="s">
        <v>56</v>
      </c>
      <c r="H292" s="174" t="s">
        <v>1302</v>
      </c>
      <c r="I292" s="154" t="s">
        <v>403</v>
      </c>
      <c r="J292" s="176">
        <v>45610</v>
      </c>
      <c r="K292" s="169">
        <v>2024</v>
      </c>
      <c r="L292" s="176">
        <v>45618</v>
      </c>
      <c r="M292" s="177">
        <v>0.82638888888888895</v>
      </c>
      <c r="N292" s="178" t="s">
        <v>1303</v>
      </c>
      <c r="O292" s="178" t="s">
        <v>1304</v>
      </c>
      <c r="P292" s="178" t="s">
        <v>34</v>
      </c>
      <c r="Q292" s="178" t="s">
        <v>1072</v>
      </c>
      <c r="R292" s="179">
        <v>0</v>
      </c>
      <c r="S292" s="180"/>
      <c r="T292" s="180"/>
      <c r="U292" s="181"/>
      <c r="V292" s="182"/>
      <c r="W292" s="183"/>
      <c r="X292" s="181"/>
      <c r="Y292" s="184"/>
    </row>
    <row r="293" spans="1:25" ht="26.25" customHeight="1">
      <c r="A293" s="151">
        <v>292</v>
      </c>
      <c r="B293" s="151" t="s">
        <v>25</v>
      </c>
      <c r="C293" s="151" t="s">
        <v>1305</v>
      </c>
      <c r="D293" s="173" t="s">
        <v>1306</v>
      </c>
      <c r="E293" s="169" t="s">
        <v>49</v>
      </c>
      <c r="F293" s="169" t="s">
        <v>348</v>
      </c>
      <c r="G293" s="169" t="s">
        <v>41</v>
      </c>
      <c r="H293" s="174" t="s">
        <v>1307</v>
      </c>
      <c r="I293" s="154" t="s">
        <v>1308</v>
      </c>
      <c r="J293" s="176">
        <v>45589</v>
      </c>
      <c r="K293" s="169">
        <v>2024</v>
      </c>
      <c r="L293" s="176">
        <v>45621</v>
      </c>
      <c r="M293" s="177">
        <v>0.91666666666666696</v>
      </c>
      <c r="N293" s="178" t="s">
        <v>564</v>
      </c>
      <c r="O293" s="178" t="s">
        <v>1309</v>
      </c>
      <c r="P293" s="178" t="s">
        <v>34</v>
      </c>
      <c r="Q293" s="178" t="s">
        <v>35</v>
      </c>
      <c r="R293" s="179">
        <v>0</v>
      </c>
      <c r="S293" s="180"/>
      <c r="T293" s="180"/>
      <c r="U293" s="181"/>
      <c r="V293" s="182"/>
      <c r="W293" s="183"/>
      <c r="X293" s="181"/>
      <c r="Y293" s="184"/>
    </row>
    <row r="294" spans="1:25" ht="26.25" customHeight="1">
      <c r="A294" s="169">
        <v>293</v>
      </c>
      <c r="B294" s="172" t="s">
        <v>25</v>
      </c>
      <c r="C294" s="151" t="s">
        <v>1310</v>
      </c>
      <c r="D294" s="173" t="s">
        <v>948</v>
      </c>
      <c r="E294" s="169" t="s">
        <v>28</v>
      </c>
      <c r="F294" s="169" t="s">
        <v>640</v>
      </c>
      <c r="G294" s="169" t="s">
        <v>56</v>
      </c>
      <c r="H294" s="174" t="s">
        <v>1311</v>
      </c>
      <c r="I294" s="154" t="s">
        <v>1312</v>
      </c>
      <c r="J294" s="176">
        <v>45622</v>
      </c>
      <c r="K294" s="169">
        <v>2024</v>
      </c>
      <c r="L294" s="176">
        <v>45622</v>
      </c>
      <c r="M294" s="177">
        <v>0.30555555555555602</v>
      </c>
      <c r="N294" s="178" t="s">
        <v>951</v>
      </c>
      <c r="O294" s="178" t="s">
        <v>240</v>
      </c>
      <c r="P294" s="178" t="s">
        <v>103</v>
      </c>
      <c r="Q294" s="178" t="s">
        <v>1313</v>
      </c>
      <c r="R294" s="179">
        <v>0</v>
      </c>
      <c r="S294" s="180"/>
      <c r="T294" s="180"/>
      <c r="U294" s="181"/>
      <c r="V294" s="182"/>
      <c r="W294" s="183"/>
      <c r="X294" s="181"/>
      <c r="Y294" s="184"/>
    </row>
    <row r="295" spans="1:25" ht="26.25" customHeight="1">
      <c r="A295" s="169">
        <v>294</v>
      </c>
      <c r="B295" s="172" t="s">
        <v>25</v>
      </c>
      <c r="C295" s="151" t="s">
        <v>1314</v>
      </c>
      <c r="D295" s="153" t="s">
        <v>1315</v>
      </c>
      <c r="E295" s="169" t="s">
        <v>49</v>
      </c>
      <c r="F295" s="151" t="s">
        <v>151</v>
      </c>
      <c r="G295" s="151" t="s">
        <v>56</v>
      </c>
      <c r="H295" s="165" t="s">
        <v>859</v>
      </c>
      <c r="I295" s="154" t="s">
        <v>859</v>
      </c>
      <c r="J295" s="155">
        <v>45622</v>
      </c>
      <c r="K295" s="151">
        <v>2024</v>
      </c>
      <c r="L295" s="155">
        <v>45622</v>
      </c>
      <c r="M295" s="156">
        <v>0.39583333333333298</v>
      </c>
      <c r="N295" s="157" t="s">
        <v>1316</v>
      </c>
      <c r="O295" s="157" t="s">
        <v>1317</v>
      </c>
      <c r="P295" s="157" t="s">
        <v>34</v>
      </c>
      <c r="Q295" s="157" t="s">
        <v>1318</v>
      </c>
      <c r="R295" s="158">
        <v>1</v>
      </c>
      <c r="S295" s="157"/>
      <c r="T295" s="159"/>
      <c r="U295" s="160"/>
      <c r="V295" s="161"/>
      <c r="W295" s="162"/>
      <c r="X295" s="160"/>
      <c r="Y295" s="163"/>
    </row>
    <row r="296" spans="1:25" ht="27" customHeight="1">
      <c r="A296" s="169">
        <v>295</v>
      </c>
      <c r="B296" s="172" t="s">
        <v>25</v>
      </c>
      <c r="C296" s="151" t="s">
        <v>1319</v>
      </c>
      <c r="D296" s="153" t="s">
        <v>1320</v>
      </c>
      <c r="E296" s="169" t="s">
        <v>49</v>
      </c>
      <c r="F296" s="151" t="s">
        <v>81</v>
      </c>
      <c r="G296" s="151" t="s">
        <v>56</v>
      </c>
      <c r="H296" s="165" t="s">
        <v>83</v>
      </c>
      <c r="I296" s="154" t="s">
        <v>692</v>
      </c>
      <c r="J296" s="155">
        <v>45623</v>
      </c>
      <c r="K296" s="151">
        <v>2024</v>
      </c>
      <c r="L296" s="155">
        <v>45623</v>
      </c>
      <c r="M296" s="156">
        <v>0.45833333333333298</v>
      </c>
      <c r="N296" s="157" t="s">
        <v>1316</v>
      </c>
      <c r="O296" s="157" t="s">
        <v>1321</v>
      </c>
      <c r="P296" s="157" t="s">
        <v>103</v>
      </c>
      <c r="Q296" s="157" t="s">
        <v>35</v>
      </c>
      <c r="R296" s="158">
        <v>0</v>
      </c>
      <c r="S296" s="159"/>
      <c r="T296" s="159"/>
      <c r="U296" s="160"/>
      <c r="V296" s="161"/>
      <c r="W296" s="162"/>
      <c r="X296" s="160"/>
      <c r="Y296" s="163"/>
    </row>
    <row r="297" spans="1:25" ht="15">
      <c r="A297" s="169">
        <v>296</v>
      </c>
      <c r="B297" s="172" t="s">
        <v>25</v>
      </c>
      <c r="C297" s="151" t="s">
        <v>1322</v>
      </c>
      <c r="D297" s="153" t="s">
        <v>1323</v>
      </c>
      <c r="E297" s="169" t="s">
        <v>49</v>
      </c>
      <c r="F297" s="151" t="s">
        <v>151</v>
      </c>
      <c r="G297" s="151" t="s">
        <v>56</v>
      </c>
      <c r="H297" s="151" t="s">
        <v>1324</v>
      </c>
      <c r="I297" s="154" t="s">
        <v>403</v>
      </c>
      <c r="J297" s="155">
        <v>45623</v>
      </c>
      <c r="K297" s="151">
        <v>2024</v>
      </c>
      <c r="L297" s="155">
        <v>45623</v>
      </c>
      <c r="M297" s="156">
        <v>0.36111111111111099</v>
      </c>
      <c r="N297" s="157" t="s">
        <v>1325</v>
      </c>
      <c r="O297" s="157" t="s">
        <v>1326</v>
      </c>
      <c r="P297" s="157" t="s">
        <v>34</v>
      </c>
      <c r="Q297" s="157" t="s">
        <v>35</v>
      </c>
      <c r="R297" s="158">
        <v>0</v>
      </c>
      <c r="S297" s="159"/>
      <c r="T297" s="159"/>
      <c r="U297" s="160"/>
      <c r="V297" s="161"/>
      <c r="W297" s="162"/>
      <c r="X297" s="160"/>
      <c r="Y297" s="163"/>
    </row>
    <row r="298" spans="1:25" ht="15">
      <c r="A298" s="169">
        <v>297</v>
      </c>
      <c r="B298" s="172" t="s">
        <v>25</v>
      </c>
      <c r="C298" s="151" t="s">
        <v>1327</v>
      </c>
      <c r="D298" s="153" t="s">
        <v>908</v>
      </c>
      <c r="E298" s="169" t="s">
        <v>49</v>
      </c>
      <c r="F298" s="151" t="s">
        <v>151</v>
      </c>
      <c r="G298" s="151" t="s">
        <v>70</v>
      </c>
      <c r="H298" s="151" t="s">
        <v>1328</v>
      </c>
      <c r="I298" s="154" t="s">
        <v>31</v>
      </c>
      <c r="J298" s="155">
        <v>45639</v>
      </c>
      <c r="K298" s="151">
        <v>2024</v>
      </c>
      <c r="L298" s="155">
        <v>45646</v>
      </c>
      <c r="M298" s="156">
        <v>0.56597222222222199</v>
      </c>
      <c r="N298" s="157" t="s">
        <v>1329</v>
      </c>
      <c r="O298" s="157" t="s">
        <v>53</v>
      </c>
      <c r="P298" s="157" t="s">
        <v>144</v>
      </c>
      <c r="Q298" s="157" t="s">
        <v>1330</v>
      </c>
      <c r="R298" s="158">
        <v>7</v>
      </c>
      <c r="S298" s="159"/>
      <c r="T298" s="159"/>
      <c r="U298" s="160"/>
      <c r="V298" s="161"/>
      <c r="W298" s="162"/>
      <c r="X298" s="160"/>
      <c r="Y298" s="163"/>
    </row>
    <row r="299" spans="1:25" ht="15">
      <c r="A299" s="169">
        <v>298</v>
      </c>
      <c r="B299" s="169" t="s">
        <v>25</v>
      </c>
      <c r="C299" s="169" t="s">
        <v>1331</v>
      </c>
      <c r="D299" s="173" t="s">
        <v>1332</v>
      </c>
      <c r="E299" s="169" t="s">
        <v>49</v>
      </c>
      <c r="F299" s="169" t="s">
        <v>151</v>
      </c>
      <c r="G299" s="169" t="s">
        <v>70</v>
      </c>
      <c r="H299" s="174" t="s">
        <v>644</v>
      </c>
      <c r="I299" s="175" t="s">
        <v>644</v>
      </c>
      <c r="J299" s="176">
        <v>45646</v>
      </c>
      <c r="K299" s="169">
        <v>2024</v>
      </c>
      <c r="L299" s="176">
        <v>45653</v>
      </c>
      <c r="M299" s="177">
        <v>0.85416666666666696</v>
      </c>
      <c r="N299" s="178" t="s">
        <v>1333</v>
      </c>
      <c r="O299" s="178" t="s">
        <v>451</v>
      </c>
      <c r="P299" s="178" t="s">
        <v>34</v>
      </c>
      <c r="Q299" s="178" t="s">
        <v>35</v>
      </c>
      <c r="R299" s="179">
        <v>0</v>
      </c>
      <c r="S299" s="180"/>
      <c r="T299" s="180"/>
      <c r="U299" s="181"/>
      <c r="V299" s="182"/>
      <c r="W299" s="183"/>
      <c r="X299" s="181"/>
      <c r="Y299" s="184"/>
    </row>
    <row r="300" spans="1:25" ht="30">
      <c r="A300" s="185">
        <v>299</v>
      </c>
      <c r="B300" s="186" t="s">
        <v>25</v>
      </c>
      <c r="C300" s="187" t="s">
        <v>1334</v>
      </c>
      <c r="D300" s="188" t="s">
        <v>980</v>
      </c>
      <c r="E300" s="185" t="s">
        <v>49</v>
      </c>
      <c r="F300" s="185" t="s">
        <v>1070</v>
      </c>
      <c r="G300" s="185" t="s">
        <v>124</v>
      </c>
      <c r="H300" s="185" t="s">
        <v>1335</v>
      </c>
      <c r="I300" s="185" t="s">
        <v>496</v>
      </c>
      <c r="J300" s="189">
        <v>45663</v>
      </c>
      <c r="K300" s="185">
        <v>2025</v>
      </c>
      <c r="L300" s="189">
        <v>45664</v>
      </c>
      <c r="M300" s="190">
        <v>0</v>
      </c>
      <c r="N300" s="191" t="s">
        <v>1336</v>
      </c>
      <c r="O300" s="191" t="s">
        <v>316</v>
      </c>
      <c r="P300" s="191" t="s">
        <v>34</v>
      </c>
      <c r="Q300" s="191" t="s">
        <v>1337</v>
      </c>
      <c r="R300" s="192">
        <v>0</v>
      </c>
      <c r="S300" s="191"/>
      <c r="T300" s="191"/>
      <c r="U300" s="193"/>
      <c r="V300" s="194"/>
      <c r="W300" s="195"/>
      <c r="X300" s="193"/>
      <c r="Y300" s="196"/>
    </row>
    <row r="301" spans="1:25" ht="26.25" customHeight="1">
      <c r="A301" s="185">
        <v>300</v>
      </c>
      <c r="B301" s="197" t="s">
        <v>25</v>
      </c>
      <c r="C301" s="198" t="s">
        <v>1338</v>
      </c>
      <c r="D301" s="199" t="s">
        <v>1339</v>
      </c>
      <c r="E301" s="200" t="s">
        <v>49</v>
      </c>
      <c r="F301" s="200" t="s">
        <v>151</v>
      </c>
      <c r="G301" s="200" t="s">
        <v>124</v>
      </c>
      <c r="H301" s="200" t="s">
        <v>1340</v>
      </c>
      <c r="I301" s="200" t="s">
        <v>950</v>
      </c>
      <c r="J301" s="201">
        <v>45675</v>
      </c>
      <c r="K301" s="200">
        <v>2025</v>
      </c>
      <c r="L301" s="201">
        <v>45677</v>
      </c>
      <c r="M301" s="202">
        <v>0.25</v>
      </c>
      <c r="N301" s="203" t="s">
        <v>1341</v>
      </c>
      <c r="O301" s="203" t="s">
        <v>1342</v>
      </c>
      <c r="P301" s="203" t="s">
        <v>34</v>
      </c>
      <c r="Q301" s="203" t="s">
        <v>35</v>
      </c>
      <c r="R301" s="204">
        <v>1</v>
      </c>
      <c r="S301" s="203"/>
      <c r="T301" s="203"/>
      <c r="U301" s="205"/>
      <c r="V301" s="206"/>
      <c r="W301" s="207"/>
      <c r="X301" s="205"/>
      <c r="Y301" s="208"/>
    </row>
    <row r="302" spans="1:25" ht="33.75" customHeight="1">
      <c r="A302" s="185">
        <v>301</v>
      </c>
      <c r="B302" s="197" t="s">
        <v>25</v>
      </c>
      <c r="C302" s="198" t="s">
        <v>1343</v>
      </c>
      <c r="D302" s="199" t="s">
        <v>1201</v>
      </c>
      <c r="E302" s="200" t="s">
        <v>49</v>
      </c>
      <c r="F302" s="200" t="s">
        <v>151</v>
      </c>
      <c r="G302" s="200" t="s">
        <v>124</v>
      </c>
      <c r="H302" s="209" t="s">
        <v>1344</v>
      </c>
      <c r="I302" s="200" t="s">
        <v>1345</v>
      </c>
      <c r="J302" s="201">
        <v>45678</v>
      </c>
      <c r="K302" s="200">
        <v>2025</v>
      </c>
      <c r="L302" s="201">
        <v>45688</v>
      </c>
      <c r="M302" s="202">
        <v>0.63888888888888895</v>
      </c>
      <c r="N302" s="203" t="s">
        <v>812</v>
      </c>
      <c r="O302" s="203" t="s">
        <v>1346</v>
      </c>
      <c r="P302" s="203" t="s">
        <v>103</v>
      </c>
      <c r="Q302" s="203" t="s">
        <v>1347</v>
      </c>
      <c r="R302" s="204">
        <v>3</v>
      </c>
      <c r="S302" s="203"/>
      <c r="T302" s="203"/>
      <c r="U302" s="205"/>
      <c r="V302" s="206"/>
      <c r="W302" s="207"/>
      <c r="X302" s="205"/>
      <c r="Y302" s="208"/>
    </row>
    <row r="303" spans="1:25" ht="30">
      <c r="A303" s="185">
        <v>302</v>
      </c>
      <c r="B303" s="197" t="s">
        <v>25</v>
      </c>
      <c r="C303" s="198" t="s">
        <v>1348</v>
      </c>
      <c r="D303" s="199" t="s">
        <v>1349</v>
      </c>
      <c r="E303" s="200" t="s">
        <v>49</v>
      </c>
      <c r="F303" s="200" t="s">
        <v>148</v>
      </c>
      <c r="G303" s="200" t="s">
        <v>124</v>
      </c>
      <c r="H303" s="200" t="s">
        <v>1350</v>
      </c>
      <c r="I303" s="200" t="s">
        <v>1351</v>
      </c>
      <c r="J303" s="201">
        <v>45680</v>
      </c>
      <c r="K303" s="200">
        <v>2025</v>
      </c>
      <c r="L303" s="201">
        <v>45681</v>
      </c>
      <c r="M303" s="202">
        <v>0.36458333333333298</v>
      </c>
      <c r="N303" s="203" t="s">
        <v>1124</v>
      </c>
      <c r="O303" s="203" t="s">
        <v>597</v>
      </c>
      <c r="P303" s="203" t="s">
        <v>34</v>
      </c>
      <c r="Q303" s="203" t="s">
        <v>1017</v>
      </c>
      <c r="R303" s="204">
        <v>5</v>
      </c>
      <c r="S303" s="203"/>
      <c r="T303" s="203"/>
      <c r="U303" s="205"/>
      <c r="V303" s="206"/>
      <c r="W303" s="207"/>
      <c r="X303" s="205"/>
      <c r="Y303" s="208"/>
    </row>
    <row r="304" spans="1:25" ht="30">
      <c r="A304" s="185">
        <v>303</v>
      </c>
      <c r="B304" s="185" t="s">
        <v>25</v>
      </c>
      <c r="C304" s="187" t="s">
        <v>1352</v>
      </c>
      <c r="D304" s="210" t="s">
        <v>1353</v>
      </c>
      <c r="E304" s="185" t="s">
        <v>49</v>
      </c>
      <c r="F304" s="185" t="s">
        <v>151</v>
      </c>
      <c r="G304" s="185" t="s">
        <v>124</v>
      </c>
      <c r="H304" s="185" t="s">
        <v>1354</v>
      </c>
      <c r="I304" s="185" t="s">
        <v>57</v>
      </c>
      <c r="J304" s="189">
        <v>45681</v>
      </c>
      <c r="K304" s="185">
        <v>2025</v>
      </c>
      <c r="L304" s="189">
        <v>45685</v>
      </c>
      <c r="M304" s="190">
        <v>0.39583333333333298</v>
      </c>
      <c r="N304" s="191" t="s">
        <v>934</v>
      </c>
      <c r="O304" s="191" t="s">
        <v>1355</v>
      </c>
      <c r="P304" s="191" t="s">
        <v>34</v>
      </c>
      <c r="Q304" s="191" t="s">
        <v>1356</v>
      </c>
      <c r="R304" s="192">
        <v>0</v>
      </c>
      <c r="S304" s="191"/>
      <c r="T304" s="191"/>
      <c r="U304" s="193"/>
      <c r="V304" s="194"/>
      <c r="W304" s="195"/>
      <c r="X304" s="193"/>
      <c r="Y304" s="196"/>
    </row>
    <row r="305" spans="1:25" ht="30">
      <c r="A305" s="185">
        <v>304</v>
      </c>
      <c r="B305" s="185" t="s">
        <v>25</v>
      </c>
      <c r="C305" s="187" t="s">
        <v>1357</v>
      </c>
      <c r="D305" s="210" t="s">
        <v>1358</v>
      </c>
      <c r="E305" s="185" t="s">
        <v>49</v>
      </c>
      <c r="F305" s="185" t="s">
        <v>151</v>
      </c>
      <c r="G305" s="185" t="s">
        <v>75</v>
      </c>
      <c r="H305" s="185" t="s">
        <v>1308</v>
      </c>
      <c r="I305" s="185" t="s">
        <v>1308</v>
      </c>
      <c r="J305" s="189">
        <v>45689</v>
      </c>
      <c r="K305" s="185">
        <v>2025</v>
      </c>
      <c r="L305" s="189">
        <v>45691</v>
      </c>
      <c r="M305" s="190">
        <v>0.75</v>
      </c>
      <c r="N305" s="191" t="s">
        <v>1359</v>
      </c>
      <c r="O305" s="191" t="s">
        <v>457</v>
      </c>
      <c r="P305" s="191" t="s">
        <v>34</v>
      </c>
      <c r="Q305" s="191" t="s">
        <v>1360</v>
      </c>
      <c r="R305" s="192">
        <v>1</v>
      </c>
      <c r="S305" s="191"/>
      <c r="T305" s="191"/>
      <c r="U305" s="193"/>
      <c r="V305" s="194"/>
      <c r="W305" s="195"/>
      <c r="X305" s="193"/>
      <c r="Y305" s="196"/>
    </row>
    <row r="306" spans="1:25" ht="30" customHeight="1">
      <c r="A306" s="185">
        <v>305</v>
      </c>
      <c r="B306" s="185" t="s">
        <v>25</v>
      </c>
      <c r="C306" s="187" t="s">
        <v>1361</v>
      </c>
      <c r="D306" s="210" t="s">
        <v>1362</v>
      </c>
      <c r="E306" s="185" t="s">
        <v>49</v>
      </c>
      <c r="F306" s="200" t="s">
        <v>148</v>
      </c>
      <c r="G306" s="185" t="s">
        <v>75</v>
      </c>
      <c r="H306" s="185" t="s">
        <v>1225</v>
      </c>
      <c r="I306" s="185" t="s">
        <v>1225</v>
      </c>
      <c r="J306" s="189">
        <v>45704</v>
      </c>
      <c r="K306" s="185">
        <v>2025</v>
      </c>
      <c r="L306" s="189">
        <v>45705</v>
      </c>
      <c r="M306" s="190">
        <v>0.375</v>
      </c>
      <c r="N306" s="191" t="s">
        <v>32</v>
      </c>
      <c r="O306" s="191" t="s">
        <v>1363</v>
      </c>
      <c r="P306" s="191" t="s">
        <v>34</v>
      </c>
      <c r="Q306" s="191" t="s">
        <v>35</v>
      </c>
      <c r="R306" s="192">
        <v>0</v>
      </c>
      <c r="S306" s="191"/>
      <c r="T306" s="191"/>
      <c r="U306" s="193"/>
      <c r="V306" s="194"/>
      <c r="W306" s="195"/>
      <c r="X306" s="193"/>
      <c r="Y306" s="196"/>
    </row>
    <row r="307" spans="1:25" ht="30">
      <c r="A307" s="185">
        <v>306</v>
      </c>
      <c r="B307" s="185" t="s">
        <v>25</v>
      </c>
      <c r="C307" s="187" t="s">
        <v>1364</v>
      </c>
      <c r="D307" s="210" t="s">
        <v>1365</v>
      </c>
      <c r="E307" s="186" t="s">
        <v>49</v>
      </c>
      <c r="F307" s="185" t="s">
        <v>156</v>
      </c>
      <c r="G307" s="211" t="s">
        <v>75</v>
      </c>
      <c r="H307" s="185" t="s">
        <v>1366</v>
      </c>
      <c r="I307" s="185" t="s">
        <v>1367</v>
      </c>
      <c r="J307" s="189">
        <v>45714</v>
      </c>
      <c r="K307" s="185">
        <v>2025</v>
      </c>
      <c r="L307" s="189">
        <v>45714</v>
      </c>
      <c r="M307" s="190">
        <v>0.53125</v>
      </c>
      <c r="N307" s="191" t="s">
        <v>992</v>
      </c>
      <c r="O307" s="191" t="s">
        <v>1368</v>
      </c>
      <c r="P307" s="133" t="s">
        <v>144</v>
      </c>
      <c r="Q307" s="191" t="s">
        <v>1369</v>
      </c>
      <c r="R307" s="192">
        <v>0</v>
      </c>
      <c r="S307" s="191"/>
      <c r="T307" s="191"/>
      <c r="U307" s="193"/>
      <c r="V307" s="194"/>
      <c r="W307" s="195"/>
      <c r="X307" s="193"/>
      <c r="Y307" s="196"/>
    </row>
    <row r="308" spans="1:25" ht="30">
      <c r="A308" s="185">
        <v>307</v>
      </c>
      <c r="B308" s="185" t="s">
        <v>25</v>
      </c>
      <c r="C308" s="187" t="s">
        <v>1370</v>
      </c>
      <c r="D308" s="210" t="s">
        <v>1371</v>
      </c>
      <c r="E308" s="186" t="s">
        <v>49</v>
      </c>
      <c r="F308" s="185" t="s">
        <v>151</v>
      </c>
      <c r="G308" s="211" t="s">
        <v>75</v>
      </c>
      <c r="H308" s="185" t="s">
        <v>574</v>
      </c>
      <c r="I308" s="185" t="s">
        <v>1372</v>
      </c>
      <c r="J308" s="189">
        <v>45709</v>
      </c>
      <c r="K308" s="185">
        <v>2025</v>
      </c>
      <c r="L308" s="189">
        <v>45715</v>
      </c>
      <c r="M308" s="190">
        <v>0.625</v>
      </c>
      <c r="N308" s="191" t="s">
        <v>1373</v>
      </c>
      <c r="O308" s="191" t="s">
        <v>1374</v>
      </c>
      <c r="P308" s="191" t="s">
        <v>34</v>
      </c>
      <c r="Q308" s="191" t="s">
        <v>558</v>
      </c>
      <c r="R308" s="192">
        <v>13</v>
      </c>
      <c r="S308" s="191"/>
      <c r="T308" s="191"/>
      <c r="U308" s="193"/>
      <c r="V308" s="194"/>
      <c r="W308" s="195"/>
      <c r="X308" s="193"/>
      <c r="Y308" s="196"/>
    </row>
    <row r="309" spans="1:25" ht="28.5" customHeight="1">
      <c r="A309" s="185">
        <v>308</v>
      </c>
      <c r="B309" s="185" t="s">
        <v>25</v>
      </c>
      <c r="C309" s="187" t="s">
        <v>1375</v>
      </c>
      <c r="D309" s="210" t="s">
        <v>1376</v>
      </c>
      <c r="E309" s="186" t="s">
        <v>49</v>
      </c>
      <c r="F309" s="185" t="s">
        <v>151</v>
      </c>
      <c r="G309" s="211" t="s">
        <v>75</v>
      </c>
      <c r="H309" s="185" t="s">
        <v>1351</v>
      </c>
      <c r="I309" s="185" t="s">
        <v>1351</v>
      </c>
      <c r="J309" s="189">
        <v>45716</v>
      </c>
      <c r="K309" s="185">
        <v>2025</v>
      </c>
      <c r="L309" s="189">
        <v>45716</v>
      </c>
      <c r="M309" s="190">
        <v>0.41666666666666702</v>
      </c>
      <c r="N309" s="191" t="s">
        <v>125</v>
      </c>
      <c r="O309" s="191" t="s">
        <v>240</v>
      </c>
      <c r="P309" s="191" t="s">
        <v>34</v>
      </c>
      <c r="Q309" s="191" t="s">
        <v>35</v>
      </c>
      <c r="R309" s="192">
        <v>1</v>
      </c>
      <c r="S309" s="191"/>
      <c r="T309" s="191"/>
      <c r="U309" s="193"/>
      <c r="V309" s="194"/>
      <c r="W309" s="195"/>
      <c r="X309" s="193"/>
      <c r="Y309" s="196"/>
    </row>
    <row r="310" spans="1:25" ht="30">
      <c r="A310" s="185">
        <v>309</v>
      </c>
      <c r="B310" s="185" t="s">
        <v>25</v>
      </c>
      <c r="C310" s="187" t="s">
        <v>1377</v>
      </c>
      <c r="D310" s="210" t="s">
        <v>1378</v>
      </c>
      <c r="E310" s="186" t="s">
        <v>49</v>
      </c>
      <c r="F310" s="185" t="s">
        <v>151</v>
      </c>
      <c r="G310" s="211" t="s">
        <v>134</v>
      </c>
      <c r="H310" s="185" t="s">
        <v>1225</v>
      </c>
      <c r="I310" s="185" t="s">
        <v>1225</v>
      </c>
      <c r="J310" s="189">
        <v>45724</v>
      </c>
      <c r="K310" s="185">
        <v>2025</v>
      </c>
      <c r="L310" s="189">
        <v>45727</v>
      </c>
      <c r="M310" s="190">
        <v>0.64583333333333304</v>
      </c>
      <c r="N310" s="191" t="s">
        <v>1379</v>
      </c>
      <c r="O310" s="191" t="s">
        <v>457</v>
      </c>
      <c r="P310" s="191" t="s">
        <v>34</v>
      </c>
      <c r="Q310" s="191" t="s">
        <v>261</v>
      </c>
      <c r="R310" s="192">
        <v>6</v>
      </c>
      <c r="S310" s="191"/>
      <c r="T310" s="191"/>
      <c r="U310" s="193"/>
      <c r="V310" s="194"/>
      <c r="W310" s="195"/>
      <c r="X310" s="193"/>
      <c r="Y310" s="196"/>
    </row>
    <row r="311" spans="1:25" ht="33" customHeight="1">
      <c r="A311" s="185">
        <v>310</v>
      </c>
      <c r="B311" s="185" t="s">
        <v>25</v>
      </c>
      <c r="C311" s="187" t="s">
        <v>1380</v>
      </c>
      <c r="D311" s="210" t="s">
        <v>1381</v>
      </c>
      <c r="E311" s="186" t="s">
        <v>49</v>
      </c>
      <c r="F311" s="185" t="s">
        <v>151</v>
      </c>
      <c r="G311" s="211" t="s">
        <v>134</v>
      </c>
      <c r="H311" s="185" t="s">
        <v>955</v>
      </c>
      <c r="I311" s="185" t="s">
        <v>955</v>
      </c>
      <c r="J311" s="189">
        <v>45735</v>
      </c>
      <c r="K311" s="185">
        <v>2025</v>
      </c>
      <c r="L311" s="189">
        <v>45735</v>
      </c>
      <c r="M311" s="190">
        <v>0.5625</v>
      </c>
      <c r="N311" s="191" t="s">
        <v>892</v>
      </c>
      <c r="O311" s="191" t="s">
        <v>240</v>
      </c>
      <c r="P311" s="191" t="s">
        <v>34</v>
      </c>
      <c r="Q311" s="191" t="s">
        <v>35</v>
      </c>
      <c r="R311" s="192">
        <v>0</v>
      </c>
      <c r="S311" s="191"/>
      <c r="T311" s="191"/>
      <c r="U311" s="193"/>
      <c r="V311" s="194"/>
      <c r="W311" s="195"/>
      <c r="X311" s="193"/>
      <c r="Y311" s="196"/>
    </row>
    <row r="312" spans="1:25" ht="30">
      <c r="A312" s="185">
        <v>311</v>
      </c>
      <c r="B312" s="185" t="s">
        <v>25</v>
      </c>
      <c r="C312" s="187" t="s">
        <v>1382</v>
      </c>
      <c r="D312" s="210" t="s">
        <v>1383</v>
      </c>
      <c r="E312" s="186" t="s">
        <v>49</v>
      </c>
      <c r="F312" s="185" t="s">
        <v>148</v>
      </c>
      <c r="G312" s="211" t="s">
        <v>134</v>
      </c>
      <c r="H312" s="185" t="s">
        <v>1384</v>
      </c>
      <c r="I312" s="185" t="s">
        <v>1385</v>
      </c>
      <c r="J312" s="189">
        <v>45729</v>
      </c>
      <c r="K312" s="185">
        <v>2025</v>
      </c>
      <c r="L312" s="189">
        <v>45733</v>
      </c>
      <c r="M312" s="190">
        <v>0.33333333333333298</v>
      </c>
      <c r="N312" s="191" t="s">
        <v>620</v>
      </c>
      <c r="O312" s="191" t="s">
        <v>1386</v>
      </c>
      <c r="P312" s="191" t="s">
        <v>34</v>
      </c>
      <c r="Q312" s="191" t="s">
        <v>1072</v>
      </c>
      <c r="R312" s="192">
        <v>0</v>
      </c>
      <c r="S312" s="191"/>
      <c r="T312" s="191"/>
      <c r="U312" s="193"/>
      <c r="V312" s="194"/>
      <c r="W312" s="195"/>
      <c r="X312" s="193"/>
      <c r="Y312" s="196"/>
    </row>
    <row r="313" spans="1:25" ht="32.25" customHeight="1">
      <c r="A313" s="185">
        <v>312</v>
      </c>
      <c r="B313" s="185" t="s">
        <v>25</v>
      </c>
      <c r="C313" s="187" t="s">
        <v>1387</v>
      </c>
      <c r="D313" s="210" t="s">
        <v>1161</v>
      </c>
      <c r="E313" s="186" t="s">
        <v>49</v>
      </c>
      <c r="F313" s="185" t="s">
        <v>156</v>
      </c>
      <c r="G313" s="211" t="s">
        <v>134</v>
      </c>
      <c r="H313" s="185" t="s">
        <v>1388</v>
      </c>
      <c r="I313" s="185" t="s">
        <v>1225</v>
      </c>
      <c r="J313" s="189">
        <v>45730</v>
      </c>
      <c r="K313" s="185">
        <v>2025</v>
      </c>
      <c r="L313" s="189">
        <v>45733</v>
      </c>
      <c r="M313" s="190">
        <v>0.38541666666666702</v>
      </c>
      <c r="N313" s="191" t="s">
        <v>1389</v>
      </c>
      <c r="O313" s="191" t="s">
        <v>1386</v>
      </c>
      <c r="P313" s="191" t="s">
        <v>34</v>
      </c>
      <c r="Q313" s="191" t="s">
        <v>1390</v>
      </c>
      <c r="R313" s="192">
        <v>0</v>
      </c>
      <c r="S313" s="191"/>
      <c r="T313" s="191"/>
      <c r="U313" s="193"/>
      <c r="V313" s="194"/>
      <c r="W313" s="195"/>
      <c r="X313" s="193"/>
      <c r="Y313" s="196"/>
    </row>
    <row r="314" spans="1:25" ht="29.25" customHeight="1">
      <c r="A314" s="185">
        <v>313</v>
      </c>
      <c r="B314" s="185" t="s">
        <v>25</v>
      </c>
      <c r="C314" s="187" t="s">
        <v>1391</v>
      </c>
      <c r="D314" s="210" t="s">
        <v>1392</v>
      </c>
      <c r="E314" s="186" t="s">
        <v>49</v>
      </c>
      <c r="F314" s="185" t="s">
        <v>156</v>
      </c>
      <c r="G314" s="211" t="s">
        <v>134</v>
      </c>
      <c r="H314" s="185" t="s">
        <v>403</v>
      </c>
      <c r="I314" s="185" t="s">
        <v>1393</v>
      </c>
      <c r="J314" s="189">
        <v>45736</v>
      </c>
      <c r="K314" s="185">
        <v>2025</v>
      </c>
      <c r="L314" s="189">
        <v>45748</v>
      </c>
      <c r="M314" s="190">
        <v>0.76388888888888895</v>
      </c>
      <c r="N314" s="191" t="s">
        <v>136</v>
      </c>
      <c r="O314" s="191" t="s">
        <v>1394</v>
      </c>
      <c r="P314" s="191" t="s">
        <v>34</v>
      </c>
      <c r="Q314" s="191" t="s">
        <v>35</v>
      </c>
      <c r="R314" s="192">
        <v>0</v>
      </c>
      <c r="S314" s="191"/>
      <c r="T314" s="191"/>
      <c r="U314" s="193"/>
      <c r="V314" s="194"/>
      <c r="W314" s="195"/>
      <c r="X314" s="193"/>
      <c r="Y314" s="196"/>
    </row>
    <row r="315" spans="1:25" ht="27.75" customHeight="1">
      <c r="A315" s="185">
        <v>314</v>
      </c>
      <c r="B315" s="185" t="s">
        <v>25</v>
      </c>
      <c r="C315" s="187" t="s">
        <v>1395</v>
      </c>
      <c r="D315" s="210" t="s">
        <v>1396</v>
      </c>
      <c r="E315" s="186" t="s">
        <v>49</v>
      </c>
      <c r="F315" s="185" t="s">
        <v>1070</v>
      </c>
      <c r="G315" s="211" t="s">
        <v>149</v>
      </c>
      <c r="H315" s="185" t="s">
        <v>1397</v>
      </c>
      <c r="I315" s="185" t="s">
        <v>1398</v>
      </c>
      <c r="J315" s="189">
        <v>45749</v>
      </c>
      <c r="K315" s="185">
        <v>2025</v>
      </c>
      <c r="L315" s="189">
        <v>45750</v>
      </c>
      <c r="M315" s="190">
        <v>0.64583333333333304</v>
      </c>
      <c r="N315" s="191" t="s">
        <v>620</v>
      </c>
      <c r="O315" s="191" t="s">
        <v>1399</v>
      </c>
      <c r="P315" s="191" t="s">
        <v>34</v>
      </c>
      <c r="Q315" s="191" t="s">
        <v>1072</v>
      </c>
      <c r="R315" s="192">
        <v>0</v>
      </c>
      <c r="S315" s="191"/>
      <c r="T315" s="191"/>
      <c r="U315" s="193"/>
      <c r="V315" s="194"/>
      <c r="W315" s="195"/>
      <c r="X315" s="193"/>
      <c r="Y315" s="196"/>
    </row>
    <row r="316" spans="1:25" ht="29.25" customHeight="1">
      <c r="A316" s="185">
        <v>315</v>
      </c>
      <c r="B316" s="185" t="s">
        <v>25</v>
      </c>
      <c r="C316" s="187" t="s">
        <v>1400</v>
      </c>
      <c r="D316" s="210" t="s">
        <v>969</v>
      </c>
      <c r="E316" s="186" t="s">
        <v>49</v>
      </c>
      <c r="F316" s="185" t="s">
        <v>151</v>
      </c>
      <c r="G316" s="211" t="s">
        <v>149</v>
      </c>
      <c r="H316" s="185" t="s">
        <v>1401</v>
      </c>
      <c r="I316" s="185" t="s">
        <v>403</v>
      </c>
      <c r="J316" s="189">
        <v>45749</v>
      </c>
      <c r="K316" s="185">
        <v>2025</v>
      </c>
      <c r="L316" s="189">
        <v>45751</v>
      </c>
      <c r="M316" s="190">
        <v>0.72916666666666696</v>
      </c>
      <c r="N316" s="191" t="s">
        <v>1402</v>
      </c>
      <c r="O316" s="191" t="s">
        <v>1403</v>
      </c>
      <c r="P316" s="191" t="s">
        <v>34</v>
      </c>
      <c r="Q316" s="191" t="s">
        <v>1404</v>
      </c>
      <c r="R316" s="192">
        <v>0</v>
      </c>
      <c r="S316" s="191"/>
      <c r="T316" s="191"/>
      <c r="U316" s="193"/>
      <c r="V316" s="194"/>
      <c r="W316" s="195"/>
      <c r="X316" s="193"/>
      <c r="Y316" s="196"/>
    </row>
    <row r="317" spans="1:25" ht="31.5" customHeight="1">
      <c r="A317" s="185">
        <v>316</v>
      </c>
      <c r="B317" s="185" t="s">
        <v>25</v>
      </c>
      <c r="C317" s="187" t="s">
        <v>1405</v>
      </c>
      <c r="D317" s="210" t="s">
        <v>1406</v>
      </c>
      <c r="E317" s="186" t="s">
        <v>28</v>
      </c>
      <c r="F317" s="185" t="s">
        <v>348</v>
      </c>
      <c r="G317" s="211" t="s">
        <v>149</v>
      </c>
      <c r="H317" s="185" t="s">
        <v>57</v>
      </c>
      <c r="I317" s="185" t="s">
        <v>57</v>
      </c>
      <c r="J317" s="189">
        <v>45755</v>
      </c>
      <c r="K317" s="185">
        <v>2025</v>
      </c>
      <c r="L317" s="189">
        <v>45756</v>
      </c>
      <c r="M317" s="190">
        <v>0.9375</v>
      </c>
      <c r="N317" s="191" t="s">
        <v>992</v>
      </c>
      <c r="O317" s="191" t="s">
        <v>1407</v>
      </c>
      <c r="P317" s="191" t="s">
        <v>34</v>
      </c>
      <c r="Q317" s="191" t="s">
        <v>1408</v>
      </c>
      <c r="R317" s="192">
        <v>0</v>
      </c>
      <c r="S317" s="191"/>
      <c r="T317" s="191"/>
      <c r="U317" s="193"/>
      <c r="V317" s="194"/>
      <c r="W317" s="195"/>
      <c r="X317" s="193"/>
      <c r="Y317" s="196"/>
    </row>
    <row r="318" spans="1:25" ht="15">
      <c r="A318" s="185">
        <v>317</v>
      </c>
      <c r="B318" s="185" t="s">
        <v>25</v>
      </c>
      <c r="C318" s="187" t="s">
        <v>1409</v>
      </c>
      <c r="D318" s="210" t="s">
        <v>1410</v>
      </c>
      <c r="E318" s="186" t="s">
        <v>49</v>
      </c>
      <c r="F318" s="185" t="s">
        <v>156</v>
      </c>
      <c r="G318" s="211" t="s">
        <v>149</v>
      </c>
      <c r="H318" s="185" t="s">
        <v>1225</v>
      </c>
      <c r="I318" s="185" t="s">
        <v>1225</v>
      </c>
      <c r="J318" s="189">
        <v>45756</v>
      </c>
      <c r="K318" s="185">
        <v>2025</v>
      </c>
      <c r="L318" s="189">
        <v>45757</v>
      </c>
      <c r="M318" s="190">
        <v>0.75</v>
      </c>
      <c r="N318" s="191" t="s">
        <v>32</v>
      </c>
      <c r="O318" s="191" t="s">
        <v>78</v>
      </c>
      <c r="P318" s="191" t="s">
        <v>34</v>
      </c>
      <c r="Q318" s="191" t="s">
        <v>35</v>
      </c>
      <c r="R318" s="192">
        <v>0</v>
      </c>
      <c r="S318" s="191"/>
      <c r="T318" s="191"/>
      <c r="U318" s="193"/>
      <c r="V318" s="194"/>
      <c r="W318" s="195"/>
      <c r="X318" s="193"/>
      <c r="Y318" s="196"/>
    </row>
    <row r="319" spans="1:25" ht="45">
      <c r="A319" s="185">
        <v>318</v>
      </c>
      <c r="B319" s="185" t="s">
        <v>25</v>
      </c>
      <c r="C319" s="187" t="s">
        <v>1411</v>
      </c>
      <c r="D319" s="210" t="s">
        <v>1412</v>
      </c>
      <c r="E319" s="186" t="s">
        <v>49</v>
      </c>
      <c r="F319" s="185" t="s">
        <v>425</v>
      </c>
      <c r="G319" s="211" t="s">
        <v>149</v>
      </c>
      <c r="H319" s="185" t="s">
        <v>1413</v>
      </c>
      <c r="I319" s="185" t="s">
        <v>1414</v>
      </c>
      <c r="J319" s="189">
        <v>45761</v>
      </c>
      <c r="K319" s="185">
        <v>2025</v>
      </c>
      <c r="L319" s="189">
        <v>45763</v>
      </c>
      <c r="M319" s="190">
        <v>0.33333333333333298</v>
      </c>
      <c r="N319" s="191" t="s">
        <v>620</v>
      </c>
      <c r="O319" s="191" t="s">
        <v>1399</v>
      </c>
      <c r="P319" s="191" t="s">
        <v>34</v>
      </c>
      <c r="Q319" s="191" t="s">
        <v>1390</v>
      </c>
      <c r="R319" s="192">
        <v>0</v>
      </c>
      <c r="S319" s="191"/>
      <c r="T319" s="191"/>
      <c r="U319" s="193"/>
      <c r="V319" s="194"/>
      <c r="W319" s="195"/>
      <c r="X319" s="193"/>
      <c r="Y319" s="196"/>
    </row>
    <row r="320" spans="1:25" ht="29.25" customHeight="1">
      <c r="A320" s="185">
        <v>319</v>
      </c>
      <c r="B320" s="185" t="s">
        <v>25</v>
      </c>
      <c r="C320" s="187" t="s">
        <v>1415</v>
      </c>
      <c r="D320" s="210" t="s">
        <v>1416</v>
      </c>
      <c r="E320" s="186" t="s">
        <v>28</v>
      </c>
      <c r="F320" s="185" t="s">
        <v>425</v>
      </c>
      <c r="G320" s="211" t="s">
        <v>149</v>
      </c>
      <c r="H320" s="185" t="s">
        <v>292</v>
      </c>
      <c r="I320" s="185" t="s">
        <v>292</v>
      </c>
      <c r="J320" s="189">
        <v>45761</v>
      </c>
      <c r="K320" s="185">
        <v>2025</v>
      </c>
      <c r="L320" s="189">
        <v>45763</v>
      </c>
      <c r="M320" s="190">
        <v>0.67361111111111105</v>
      </c>
      <c r="N320" s="191" t="s">
        <v>620</v>
      </c>
      <c r="O320" s="191" t="s">
        <v>1399</v>
      </c>
      <c r="P320" s="191" t="s">
        <v>34</v>
      </c>
      <c r="Q320" s="191" t="s">
        <v>1072</v>
      </c>
      <c r="R320" s="192">
        <v>0</v>
      </c>
      <c r="S320" s="191"/>
      <c r="T320" s="191"/>
      <c r="U320" s="193"/>
      <c r="V320" s="194"/>
      <c r="W320" s="195"/>
      <c r="X320" s="193"/>
      <c r="Y320" s="196"/>
    </row>
    <row r="321" spans="1:25" ht="15">
      <c r="A321" s="185">
        <v>320</v>
      </c>
      <c r="B321" s="185" t="s">
        <v>25</v>
      </c>
      <c r="C321" s="187" t="s">
        <v>1417</v>
      </c>
      <c r="D321" s="210" t="s">
        <v>1418</v>
      </c>
      <c r="E321" s="186" t="s">
        <v>49</v>
      </c>
      <c r="F321" s="185" t="s">
        <v>1419</v>
      </c>
      <c r="G321" s="211" t="s">
        <v>149</v>
      </c>
      <c r="H321" s="185" t="s">
        <v>1420</v>
      </c>
      <c r="I321" s="185" t="s">
        <v>1421</v>
      </c>
      <c r="J321" s="189">
        <v>45770</v>
      </c>
      <c r="K321" s="185">
        <v>2025</v>
      </c>
      <c r="L321" s="189">
        <v>45771</v>
      </c>
      <c r="M321" s="190">
        <v>1200.5</v>
      </c>
      <c r="N321" s="191" t="s">
        <v>1267</v>
      </c>
      <c r="O321" s="191" t="s">
        <v>222</v>
      </c>
      <c r="P321" s="191" t="s">
        <v>103</v>
      </c>
      <c r="Q321" s="191" t="s">
        <v>298</v>
      </c>
      <c r="R321" s="192">
        <v>5</v>
      </c>
      <c r="S321" s="191"/>
      <c r="T321" s="191"/>
      <c r="U321" s="193"/>
      <c r="V321" s="194"/>
      <c r="W321" s="195"/>
      <c r="X321" s="193"/>
      <c r="Y321" s="196"/>
    </row>
    <row r="322" spans="1:25" ht="30" customHeight="1">
      <c r="A322" s="185">
        <v>321</v>
      </c>
      <c r="B322" s="185" t="s">
        <v>25</v>
      </c>
      <c r="C322" s="187" t="s">
        <v>1422</v>
      </c>
      <c r="D322" s="210" t="s">
        <v>1423</v>
      </c>
      <c r="E322" s="186" t="s">
        <v>28</v>
      </c>
      <c r="F322" s="185" t="s">
        <v>539</v>
      </c>
      <c r="G322" s="211" t="s">
        <v>244</v>
      </c>
      <c r="H322" s="185" t="s">
        <v>1424</v>
      </c>
      <c r="I322" s="185" t="s">
        <v>1424</v>
      </c>
      <c r="J322" s="189">
        <v>45783</v>
      </c>
      <c r="K322" s="185">
        <v>2025</v>
      </c>
      <c r="L322" s="189">
        <v>45783</v>
      </c>
      <c r="M322" s="190">
        <v>0.41666666666666702</v>
      </c>
      <c r="N322" s="191" t="s">
        <v>1425</v>
      </c>
      <c r="O322" s="191" t="s">
        <v>1426</v>
      </c>
      <c r="P322" s="191" t="s">
        <v>34</v>
      </c>
      <c r="Q322" s="191" t="s">
        <v>35</v>
      </c>
      <c r="R322" s="192">
        <v>0</v>
      </c>
      <c r="S322" s="191"/>
      <c r="T322" s="191"/>
      <c r="U322" s="193"/>
      <c r="V322" s="194"/>
      <c r="W322" s="195"/>
      <c r="X322" s="193"/>
      <c r="Y322" s="196"/>
    </row>
    <row r="323" spans="1:25" ht="32.25" customHeight="1">
      <c r="A323" s="185">
        <v>322</v>
      </c>
      <c r="B323" s="185" t="s">
        <v>25</v>
      </c>
      <c r="C323" s="187" t="s">
        <v>1427</v>
      </c>
      <c r="D323" s="210" t="s">
        <v>1428</v>
      </c>
      <c r="E323" s="186" t="s">
        <v>28</v>
      </c>
      <c r="F323" s="185" t="s">
        <v>539</v>
      </c>
      <c r="G323" s="211" t="s">
        <v>244</v>
      </c>
      <c r="H323" s="185" t="s">
        <v>51</v>
      </c>
      <c r="I323" s="185" t="s">
        <v>1429</v>
      </c>
      <c r="J323" s="189">
        <v>45785</v>
      </c>
      <c r="K323" s="185">
        <v>2025</v>
      </c>
      <c r="L323" s="189">
        <v>45792</v>
      </c>
      <c r="M323" s="190">
        <v>0.45833333333333298</v>
      </c>
      <c r="N323" s="191" t="s">
        <v>136</v>
      </c>
      <c r="O323" s="191" t="s">
        <v>1430</v>
      </c>
      <c r="P323" s="191" t="s">
        <v>34</v>
      </c>
      <c r="Q323" s="191" t="s">
        <v>1431</v>
      </c>
      <c r="R323" s="192">
        <v>0</v>
      </c>
      <c r="S323" s="191"/>
      <c r="T323" s="191"/>
      <c r="U323" s="193"/>
      <c r="V323" s="194"/>
      <c r="W323" s="195"/>
      <c r="X323" s="193"/>
      <c r="Y323" s="196"/>
    </row>
    <row r="324" spans="1:25" ht="32.25" customHeight="1">
      <c r="A324" s="185">
        <v>323</v>
      </c>
      <c r="B324" s="185" t="s">
        <v>25</v>
      </c>
      <c r="C324" s="187" t="s">
        <v>1432</v>
      </c>
      <c r="D324" s="210" t="s">
        <v>1433</v>
      </c>
      <c r="E324" s="186" t="s">
        <v>49</v>
      </c>
      <c r="F324" s="185" t="s">
        <v>921</v>
      </c>
      <c r="G324" s="211" t="s">
        <v>244</v>
      </c>
      <c r="H324" s="185" t="s">
        <v>1434</v>
      </c>
      <c r="I324" s="185" t="s">
        <v>1434</v>
      </c>
      <c r="J324" s="189">
        <v>45786</v>
      </c>
      <c r="K324" s="185">
        <v>2025</v>
      </c>
      <c r="L324" s="189">
        <v>45789</v>
      </c>
      <c r="M324" s="190">
        <v>1040.44444444444</v>
      </c>
      <c r="N324" s="191" t="s">
        <v>812</v>
      </c>
      <c r="O324" s="191" t="s">
        <v>222</v>
      </c>
      <c r="P324" s="191" t="s">
        <v>103</v>
      </c>
      <c r="Q324" s="191" t="s">
        <v>1435</v>
      </c>
      <c r="R324" s="192">
        <v>15</v>
      </c>
      <c r="S324" s="191"/>
      <c r="T324" s="191"/>
      <c r="U324" s="193"/>
      <c r="V324" s="194"/>
      <c r="W324" s="195"/>
      <c r="X324" s="193"/>
      <c r="Y324" s="196"/>
    </row>
    <row r="325" spans="1:25" ht="29.25" customHeight="1">
      <c r="A325" s="185">
        <v>324</v>
      </c>
      <c r="B325" s="185" t="s">
        <v>25</v>
      </c>
      <c r="C325" s="187" t="s">
        <v>1436</v>
      </c>
      <c r="D325" s="210" t="s">
        <v>282</v>
      </c>
      <c r="E325" s="186" t="s">
        <v>49</v>
      </c>
      <c r="F325" s="185" t="s">
        <v>148</v>
      </c>
      <c r="G325" s="211" t="s">
        <v>244</v>
      </c>
      <c r="H325" s="185" t="s">
        <v>692</v>
      </c>
      <c r="I325" s="185" t="s">
        <v>692</v>
      </c>
      <c r="J325" s="189">
        <v>45793</v>
      </c>
      <c r="K325" s="185">
        <v>2025</v>
      </c>
      <c r="L325" s="189">
        <v>45793</v>
      </c>
      <c r="M325" s="190">
        <v>0.375</v>
      </c>
      <c r="N325" s="191" t="s">
        <v>1316</v>
      </c>
      <c r="O325" s="191" t="s">
        <v>1437</v>
      </c>
      <c r="P325" s="191" t="s">
        <v>103</v>
      </c>
      <c r="Q325" s="191" t="s">
        <v>1438</v>
      </c>
      <c r="R325" s="192">
        <v>0</v>
      </c>
      <c r="S325" s="191"/>
      <c r="T325" s="191"/>
      <c r="U325" s="193"/>
      <c r="V325" s="194"/>
      <c r="W325" s="195"/>
      <c r="X325" s="193"/>
      <c r="Y325" s="196"/>
    </row>
    <row r="326" spans="1:25" ht="30">
      <c r="A326" s="185">
        <v>325</v>
      </c>
      <c r="B326" s="185" t="s">
        <v>25</v>
      </c>
      <c r="C326" s="187" t="s">
        <v>1439</v>
      </c>
      <c r="D326" s="210" t="s">
        <v>1440</v>
      </c>
      <c r="E326" s="186" t="s">
        <v>49</v>
      </c>
      <c r="F326" s="185" t="s">
        <v>348</v>
      </c>
      <c r="G326" s="211" t="s">
        <v>244</v>
      </c>
      <c r="H326" s="185" t="s">
        <v>417</v>
      </c>
      <c r="I326" s="185" t="s">
        <v>1441</v>
      </c>
      <c r="J326" s="189">
        <v>45793</v>
      </c>
      <c r="K326" s="185">
        <v>2025</v>
      </c>
      <c r="L326" s="189">
        <v>45797</v>
      </c>
      <c r="M326" s="190">
        <v>0.36111111111111099</v>
      </c>
      <c r="N326" s="191" t="s">
        <v>1442</v>
      </c>
      <c r="O326" s="191" t="s">
        <v>1443</v>
      </c>
      <c r="P326" s="191" t="s">
        <v>103</v>
      </c>
      <c r="Q326" s="191" t="s">
        <v>1159</v>
      </c>
      <c r="R326" s="192">
        <v>0</v>
      </c>
      <c r="S326" s="191"/>
      <c r="T326" s="191"/>
      <c r="U326" s="193"/>
      <c r="V326" s="194"/>
      <c r="W326" s="195"/>
      <c r="X326" s="193"/>
      <c r="Y326" s="196"/>
    </row>
    <row r="327" spans="1:25" ht="52.5" customHeight="1">
      <c r="A327" s="185">
        <v>326</v>
      </c>
      <c r="B327" s="185" t="s">
        <v>25</v>
      </c>
      <c r="C327" s="187" t="s">
        <v>1444</v>
      </c>
      <c r="D327" s="210" t="s">
        <v>1445</v>
      </c>
      <c r="E327" s="186" t="s">
        <v>49</v>
      </c>
      <c r="F327" s="185" t="s">
        <v>358</v>
      </c>
      <c r="G327" s="211" t="s">
        <v>244</v>
      </c>
      <c r="H327" s="185" t="s">
        <v>1446</v>
      </c>
      <c r="I327" s="185" t="s">
        <v>1447</v>
      </c>
      <c r="J327" s="189">
        <v>45796</v>
      </c>
      <c r="K327" s="185">
        <v>2025</v>
      </c>
      <c r="L327" s="189">
        <v>45796</v>
      </c>
      <c r="M327" s="190">
        <v>0.58333333333333304</v>
      </c>
      <c r="N327" s="191" t="s">
        <v>1448</v>
      </c>
      <c r="O327" s="191" t="s">
        <v>1386</v>
      </c>
      <c r="P327" s="191" t="s">
        <v>34</v>
      </c>
      <c r="Q327" s="191" t="s">
        <v>1072</v>
      </c>
      <c r="R327" s="192">
        <v>0</v>
      </c>
      <c r="S327" s="191"/>
      <c r="T327" s="191"/>
      <c r="U327" s="193"/>
      <c r="V327" s="194"/>
      <c r="W327" s="195"/>
      <c r="X327" s="193"/>
      <c r="Y327" s="196"/>
    </row>
    <row r="328" spans="1:25" ht="45">
      <c r="A328" s="185">
        <v>327</v>
      </c>
      <c r="B328" s="185" t="s">
        <v>25</v>
      </c>
      <c r="C328" s="187" t="s">
        <v>1449</v>
      </c>
      <c r="D328" s="210" t="s">
        <v>1450</v>
      </c>
      <c r="E328" s="186" t="s">
        <v>49</v>
      </c>
      <c r="F328" s="185" t="s">
        <v>348</v>
      </c>
      <c r="G328" s="211" t="s">
        <v>244</v>
      </c>
      <c r="H328" s="185" t="s">
        <v>1451</v>
      </c>
      <c r="I328" s="185" t="s">
        <v>1082</v>
      </c>
      <c r="J328" s="189">
        <v>45796</v>
      </c>
      <c r="K328" s="185">
        <v>2025</v>
      </c>
      <c r="L328" s="189">
        <v>45798</v>
      </c>
      <c r="M328" s="190">
        <v>0.8125</v>
      </c>
      <c r="N328" s="191" t="s">
        <v>1389</v>
      </c>
      <c r="O328" s="191" t="s">
        <v>1399</v>
      </c>
      <c r="P328" s="191" t="s">
        <v>103</v>
      </c>
      <c r="Q328" s="191" t="s">
        <v>1072</v>
      </c>
      <c r="R328" s="192">
        <v>0</v>
      </c>
      <c r="S328" s="191"/>
      <c r="T328" s="191"/>
      <c r="U328" s="193"/>
      <c r="V328" s="194"/>
      <c r="W328" s="195"/>
      <c r="X328" s="193"/>
      <c r="Y328" s="196"/>
    </row>
    <row r="329" spans="1:25" ht="28.5" customHeight="1">
      <c r="A329" s="185">
        <v>328</v>
      </c>
      <c r="B329" s="185" t="s">
        <v>25</v>
      </c>
      <c r="C329" s="187" t="s">
        <v>1452</v>
      </c>
      <c r="D329" s="210" t="s">
        <v>1453</v>
      </c>
      <c r="E329" s="186" t="s">
        <v>49</v>
      </c>
      <c r="F329" s="185" t="s">
        <v>148</v>
      </c>
      <c r="G329" s="211" t="s">
        <v>244</v>
      </c>
      <c r="H329" s="185" t="s">
        <v>403</v>
      </c>
      <c r="I329" s="185" t="s">
        <v>574</v>
      </c>
      <c r="J329" s="189">
        <v>45806</v>
      </c>
      <c r="K329" s="185">
        <v>2025</v>
      </c>
      <c r="L329" s="189">
        <v>45807</v>
      </c>
      <c r="M329" s="190">
        <v>0.55208333333333304</v>
      </c>
      <c r="N329" s="191" t="s">
        <v>1402</v>
      </c>
      <c r="O329" s="191" t="s">
        <v>1454</v>
      </c>
      <c r="P329" s="191" t="s">
        <v>103</v>
      </c>
      <c r="Q329" s="191" t="s">
        <v>1455</v>
      </c>
      <c r="R329" s="192">
        <v>0</v>
      </c>
      <c r="S329" s="191"/>
      <c r="T329" s="191"/>
      <c r="U329" s="193"/>
      <c r="V329" s="194"/>
      <c r="W329" s="195"/>
      <c r="X329" s="193"/>
      <c r="Y329" s="196"/>
    </row>
    <row r="330" spans="1:25" ht="28.5" customHeight="1">
      <c r="A330" s="185">
        <v>329</v>
      </c>
      <c r="B330" s="185" t="s">
        <v>25</v>
      </c>
      <c r="C330" s="187" t="s">
        <v>1456</v>
      </c>
      <c r="D330" s="210" t="s">
        <v>1457</v>
      </c>
      <c r="E330" s="186" t="s">
        <v>28</v>
      </c>
      <c r="F330" s="185" t="s">
        <v>1458</v>
      </c>
      <c r="G330" s="211" t="s">
        <v>244</v>
      </c>
      <c r="H330" s="185" t="s">
        <v>436</v>
      </c>
      <c r="I330" s="185" t="s">
        <v>171</v>
      </c>
      <c r="J330" s="189">
        <v>45803</v>
      </c>
      <c r="K330" s="185">
        <v>2025</v>
      </c>
      <c r="L330" s="189">
        <v>45811</v>
      </c>
      <c r="M330" s="190">
        <v>0.80208333333333304</v>
      </c>
      <c r="N330" s="191" t="s">
        <v>1459</v>
      </c>
      <c r="O330" s="191" t="s">
        <v>1460</v>
      </c>
      <c r="P330" s="133" t="s">
        <v>144</v>
      </c>
      <c r="Q330" s="191" t="s">
        <v>628</v>
      </c>
      <c r="R330" s="192">
        <v>0</v>
      </c>
      <c r="S330" s="191"/>
      <c r="T330" s="191"/>
      <c r="U330" s="193"/>
      <c r="V330" s="194"/>
      <c r="W330" s="195"/>
      <c r="X330" s="193"/>
      <c r="Y330" s="196"/>
    </row>
    <row r="331" spans="1:25" ht="28.5" customHeight="1">
      <c r="A331" s="185">
        <v>330</v>
      </c>
      <c r="B331" s="185" t="s">
        <v>25</v>
      </c>
      <c r="C331" s="187" t="s">
        <v>1461</v>
      </c>
      <c r="D331" s="210" t="s">
        <v>1462</v>
      </c>
      <c r="E331" s="186" t="s">
        <v>49</v>
      </c>
      <c r="F331" s="185" t="s">
        <v>348</v>
      </c>
      <c r="G331" s="211" t="s">
        <v>157</v>
      </c>
      <c r="H331" s="185" t="s">
        <v>51</v>
      </c>
      <c r="I331" s="185" t="s">
        <v>51</v>
      </c>
      <c r="J331" s="189">
        <v>45866</v>
      </c>
      <c r="K331" s="185">
        <v>2025</v>
      </c>
      <c r="L331" s="189">
        <v>45868</v>
      </c>
      <c r="M331" s="190">
        <v>0.43055555555555602</v>
      </c>
      <c r="N331" s="191" t="s">
        <v>1341</v>
      </c>
      <c r="O331" s="191" t="s">
        <v>240</v>
      </c>
      <c r="P331" s="191" t="s">
        <v>103</v>
      </c>
      <c r="Q331" s="191" t="s">
        <v>1159</v>
      </c>
      <c r="R331" s="192">
        <v>0</v>
      </c>
      <c r="S331" s="191"/>
      <c r="T331" s="191"/>
      <c r="U331" s="193"/>
      <c r="V331" s="194"/>
      <c r="W331" s="195"/>
      <c r="X331" s="193"/>
      <c r="Y331" s="196"/>
    </row>
    <row r="332" spans="1:25" ht="48.75" customHeight="1">
      <c r="A332" s="185">
        <v>331</v>
      </c>
      <c r="B332" s="185" t="s">
        <v>25</v>
      </c>
      <c r="C332" s="187" t="s">
        <v>1463</v>
      </c>
      <c r="D332" s="210" t="s">
        <v>1464</v>
      </c>
      <c r="E332" s="186" t="s">
        <v>28</v>
      </c>
      <c r="F332" s="185" t="s">
        <v>539</v>
      </c>
      <c r="G332" s="211" t="s">
        <v>30</v>
      </c>
      <c r="H332" s="185" t="s">
        <v>1465</v>
      </c>
      <c r="I332" s="185" t="s">
        <v>51</v>
      </c>
      <c r="J332" s="189">
        <v>45870</v>
      </c>
      <c r="K332" s="185">
        <v>2025</v>
      </c>
      <c r="L332" s="189">
        <v>45874</v>
      </c>
      <c r="M332" s="190">
        <v>0.58333333333333304</v>
      </c>
      <c r="N332" s="191" t="s">
        <v>1466</v>
      </c>
      <c r="O332" s="191" t="s">
        <v>1467</v>
      </c>
      <c r="P332" s="191" t="s">
        <v>103</v>
      </c>
      <c r="Q332" s="191" t="s">
        <v>1159</v>
      </c>
      <c r="R332" s="192">
        <v>0</v>
      </c>
      <c r="S332" s="191"/>
      <c r="T332" s="191"/>
      <c r="U332" s="193"/>
      <c r="V332" s="194"/>
      <c r="W332" s="195"/>
      <c r="X332" s="193"/>
      <c r="Y332" s="196"/>
    </row>
    <row r="333" spans="1:25" ht="44.25" customHeight="1">
      <c r="A333" s="185">
        <v>332</v>
      </c>
      <c r="B333" s="185" t="s">
        <v>25</v>
      </c>
      <c r="C333" s="187" t="s">
        <v>1468</v>
      </c>
      <c r="D333" s="210" t="s">
        <v>1469</v>
      </c>
      <c r="E333" s="186" t="s">
        <v>49</v>
      </c>
      <c r="F333" s="185" t="s">
        <v>148</v>
      </c>
      <c r="G333" s="211" t="s">
        <v>30</v>
      </c>
      <c r="H333" s="185" t="s">
        <v>1470</v>
      </c>
      <c r="I333" s="185" t="s">
        <v>51</v>
      </c>
      <c r="J333" s="189">
        <v>45874</v>
      </c>
      <c r="K333" s="185">
        <v>2025</v>
      </c>
      <c r="L333" s="189">
        <v>45876</v>
      </c>
      <c r="M333" s="190">
        <v>0.375</v>
      </c>
      <c r="N333" s="191" t="s">
        <v>1329</v>
      </c>
      <c r="O333" s="191" t="s">
        <v>1471</v>
      </c>
      <c r="P333" s="191" t="s">
        <v>103</v>
      </c>
      <c r="Q333" s="191" t="s">
        <v>1472</v>
      </c>
      <c r="R333" s="192">
        <v>15</v>
      </c>
      <c r="S333" s="191"/>
      <c r="T333" s="191"/>
      <c r="U333" s="193"/>
      <c r="V333" s="194"/>
      <c r="W333" s="195"/>
      <c r="X333" s="193"/>
      <c r="Y333" s="196"/>
    </row>
    <row r="334" spans="1:25" ht="55.5" customHeight="1">
      <c r="A334" s="185">
        <v>333</v>
      </c>
      <c r="B334" s="185" t="s">
        <v>25</v>
      </c>
      <c r="C334" s="187" t="s">
        <v>1473</v>
      </c>
      <c r="D334" s="210" t="s">
        <v>1462</v>
      </c>
      <c r="E334" s="186" t="s">
        <v>49</v>
      </c>
      <c r="F334" s="185" t="s">
        <v>348</v>
      </c>
      <c r="G334" s="211" t="s">
        <v>30</v>
      </c>
      <c r="H334" s="185" t="s">
        <v>1474</v>
      </c>
      <c r="I334" s="185" t="s">
        <v>51</v>
      </c>
      <c r="J334" s="189">
        <v>45884</v>
      </c>
      <c r="K334" s="185">
        <v>2025</v>
      </c>
      <c r="L334" s="189">
        <v>45895</v>
      </c>
      <c r="M334" s="190">
        <v>0.54166666666666696</v>
      </c>
      <c r="N334" s="191" t="s">
        <v>1475</v>
      </c>
      <c r="O334" s="191" t="s">
        <v>1476</v>
      </c>
      <c r="P334" s="191" t="s">
        <v>103</v>
      </c>
      <c r="Q334" s="191" t="s">
        <v>120</v>
      </c>
      <c r="R334" s="192">
        <v>14</v>
      </c>
      <c r="S334" s="191"/>
      <c r="T334" s="191"/>
      <c r="U334" s="193"/>
      <c r="V334" s="194"/>
      <c r="W334" s="195"/>
      <c r="X334" s="193"/>
      <c r="Y334" s="196"/>
    </row>
    <row r="335" spans="1:25" ht="55.5" customHeight="1">
      <c r="A335" s="185">
        <v>334</v>
      </c>
      <c r="B335" s="185" t="s">
        <v>25</v>
      </c>
      <c r="C335" s="187" t="s">
        <v>1477</v>
      </c>
      <c r="D335" s="210" t="s">
        <v>1478</v>
      </c>
      <c r="E335" s="186" t="s">
        <v>49</v>
      </c>
      <c r="F335" s="185" t="s">
        <v>148</v>
      </c>
      <c r="G335" s="211" t="s">
        <v>50</v>
      </c>
      <c r="H335" s="185" t="s">
        <v>1479</v>
      </c>
      <c r="I335" s="185" t="s">
        <v>287</v>
      </c>
      <c r="J335" s="189">
        <v>45902</v>
      </c>
      <c r="K335" s="185">
        <v>2025</v>
      </c>
      <c r="L335" s="189">
        <v>45903</v>
      </c>
      <c r="M335" s="190">
        <v>0.33333333333333298</v>
      </c>
      <c r="N335" s="191" t="s">
        <v>1124</v>
      </c>
      <c r="O335" s="191" t="s">
        <v>1480</v>
      </c>
      <c r="P335" s="191" t="s">
        <v>34</v>
      </c>
      <c r="Q335" s="191" t="s">
        <v>1481</v>
      </c>
      <c r="R335" s="192">
        <v>0</v>
      </c>
      <c r="S335" s="191"/>
      <c r="T335" s="191"/>
      <c r="U335" s="193"/>
      <c r="V335" s="194"/>
      <c r="W335" s="195"/>
      <c r="X335" s="193"/>
      <c r="Y335" s="196"/>
    </row>
    <row r="336" spans="1:25" ht="30.75" customHeight="1">
      <c r="A336" s="185">
        <v>335</v>
      </c>
      <c r="B336" s="185" t="s">
        <v>25</v>
      </c>
      <c r="C336" s="187" t="s">
        <v>1482</v>
      </c>
      <c r="D336" s="210" t="s">
        <v>596</v>
      </c>
      <c r="E336" s="186" t="s">
        <v>49</v>
      </c>
      <c r="F336" s="185" t="s">
        <v>148</v>
      </c>
      <c r="G336" s="211" t="s">
        <v>41</v>
      </c>
      <c r="H336" s="185" t="s">
        <v>1483</v>
      </c>
      <c r="I336" s="185" t="s">
        <v>1484</v>
      </c>
      <c r="J336" s="189">
        <v>45936</v>
      </c>
      <c r="K336" s="185">
        <v>2025</v>
      </c>
      <c r="L336" s="189">
        <v>45936</v>
      </c>
      <c r="M336" s="190">
        <v>0.43055555555555602</v>
      </c>
      <c r="N336" s="191" t="s">
        <v>564</v>
      </c>
      <c r="O336" s="191" t="s">
        <v>1485</v>
      </c>
      <c r="P336" s="191" t="s">
        <v>34</v>
      </c>
      <c r="Q336" s="191" t="s">
        <v>35</v>
      </c>
      <c r="R336" s="192">
        <v>0</v>
      </c>
      <c r="S336" s="191"/>
      <c r="T336" s="191"/>
      <c r="U336" s="193"/>
      <c r="V336" s="194"/>
      <c r="W336" s="195"/>
      <c r="X336" s="193"/>
      <c r="Y336" s="196"/>
    </row>
    <row r="337" spans="1:25" ht="30.75" customHeight="1">
      <c r="A337" s="185">
        <v>336</v>
      </c>
      <c r="B337" s="185" t="s">
        <v>25</v>
      </c>
      <c r="C337" s="187" t="s">
        <v>1486</v>
      </c>
      <c r="D337" s="210" t="s">
        <v>1487</v>
      </c>
      <c r="E337" s="186" t="s">
        <v>49</v>
      </c>
      <c r="F337" s="185" t="s">
        <v>148</v>
      </c>
      <c r="G337" s="211" t="s">
        <v>41</v>
      </c>
      <c r="H337" s="185" t="s">
        <v>1488</v>
      </c>
      <c r="I337" s="185" t="s">
        <v>511</v>
      </c>
      <c r="J337" s="189">
        <v>45948</v>
      </c>
      <c r="K337" s="185">
        <v>2025</v>
      </c>
      <c r="L337" s="189">
        <v>45950</v>
      </c>
      <c r="M337" s="190">
        <v>0.6875</v>
      </c>
      <c r="N337" s="191" t="s">
        <v>1489</v>
      </c>
      <c r="O337" s="191" t="s">
        <v>240</v>
      </c>
      <c r="P337" s="191" t="s">
        <v>34</v>
      </c>
      <c r="Q337" s="191" t="s">
        <v>1159</v>
      </c>
      <c r="R337" s="192">
        <v>0</v>
      </c>
      <c r="S337" s="191"/>
      <c r="T337" s="191"/>
      <c r="U337" s="193"/>
      <c r="V337" s="194"/>
      <c r="W337" s="195"/>
      <c r="X337" s="193"/>
      <c r="Y337" s="196"/>
    </row>
    <row r="338" spans="1:25" ht="30">
      <c r="A338" s="185">
        <v>337</v>
      </c>
      <c r="B338" s="185" t="s">
        <v>25</v>
      </c>
      <c r="C338" s="187" t="s">
        <v>1490</v>
      </c>
      <c r="D338" s="210" t="s">
        <v>1491</v>
      </c>
      <c r="E338" s="186" t="s">
        <v>28</v>
      </c>
      <c r="F338" s="185" t="s">
        <v>348</v>
      </c>
      <c r="G338" s="211" t="s">
        <v>41</v>
      </c>
      <c r="H338" s="185" t="s">
        <v>1144</v>
      </c>
      <c r="I338" s="185" t="s">
        <v>644</v>
      </c>
      <c r="J338" s="189">
        <v>45954</v>
      </c>
      <c r="K338" s="185">
        <v>2025</v>
      </c>
      <c r="L338" s="189">
        <v>45954</v>
      </c>
      <c r="M338" s="190">
        <v>0.45833333333333298</v>
      </c>
      <c r="N338" s="191" t="s">
        <v>1492</v>
      </c>
      <c r="O338" s="191" t="s">
        <v>1493</v>
      </c>
      <c r="P338" s="191" t="s">
        <v>34</v>
      </c>
      <c r="Q338" s="191" t="s">
        <v>35</v>
      </c>
      <c r="R338" s="192">
        <v>0</v>
      </c>
      <c r="S338" s="191"/>
      <c r="T338" s="191"/>
      <c r="U338" s="193"/>
      <c r="V338" s="194"/>
      <c r="W338" s="195"/>
      <c r="X338" s="193"/>
      <c r="Y338" s="196"/>
    </row>
    <row r="339" spans="1:25" ht="45">
      <c r="A339" s="185">
        <v>338</v>
      </c>
      <c r="B339" s="185" t="s">
        <v>25</v>
      </c>
      <c r="C339" s="187" t="s">
        <v>1494</v>
      </c>
      <c r="D339" s="210" t="s">
        <v>1495</v>
      </c>
      <c r="E339" s="186" t="s">
        <v>49</v>
      </c>
      <c r="F339" s="185" t="s">
        <v>148</v>
      </c>
      <c r="G339" s="211" t="s">
        <v>41</v>
      </c>
      <c r="H339" s="185" t="s">
        <v>1496</v>
      </c>
      <c r="I339" s="185" t="s">
        <v>1496</v>
      </c>
      <c r="J339" s="189">
        <v>45960</v>
      </c>
      <c r="K339" s="185">
        <v>2025</v>
      </c>
      <c r="L339" s="189">
        <v>45965</v>
      </c>
      <c r="M339" s="190">
        <v>0.56597222222222199</v>
      </c>
      <c r="N339" s="191" t="s">
        <v>1497</v>
      </c>
      <c r="O339" s="191" t="s">
        <v>1498</v>
      </c>
      <c r="P339" s="191" t="s">
        <v>34</v>
      </c>
      <c r="Q339" s="191" t="s">
        <v>120</v>
      </c>
      <c r="R339" s="192">
        <v>15</v>
      </c>
      <c r="S339" s="191"/>
      <c r="T339" s="191"/>
      <c r="U339" s="193"/>
      <c r="V339" s="194"/>
      <c r="W339" s="195"/>
      <c r="X339" s="193"/>
      <c r="Y339" s="196"/>
    </row>
    <row r="340" spans="1:25" ht="30">
      <c r="A340" s="185">
        <v>339</v>
      </c>
      <c r="B340" s="185" t="s">
        <v>25</v>
      </c>
      <c r="C340" s="187" t="s">
        <v>1499</v>
      </c>
      <c r="D340" s="210" t="s">
        <v>1500</v>
      </c>
      <c r="E340" s="186" t="s">
        <v>49</v>
      </c>
      <c r="F340" s="185" t="s">
        <v>348</v>
      </c>
      <c r="G340" s="211" t="s">
        <v>56</v>
      </c>
      <c r="H340" s="185" t="s">
        <v>1501</v>
      </c>
      <c r="I340" s="185" t="s">
        <v>1502</v>
      </c>
      <c r="J340" s="189">
        <v>45966</v>
      </c>
      <c r="K340" s="185">
        <v>2025</v>
      </c>
      <c r="L340" s="189">
        <v>45971</v>
      </c>
      <c r="M340" s="190">
        <v>0.22916666666666699</v>
      </c>
      <c r="N340" s="191" t="s">
        <v>1503</v>
      </c>
      <c r="O340" s="191" t="s">
        <v>704</v>
      </c>
      <c r="P340" s="191" t="s">
        <v>34</v>
      </c>
      <c r="Q340" s="191" t="s">
        <v>1504</v>
      </c>
      <c r="R340" s="192">
        <v>0</v>
      </c>
      <c r="S340" s="191"/>
      <c r="T340" s="191"/>
      <c r="U340" s="193"/>
      <c r="V340" s="194"/>
      <c r="W340" s="195"/>
      <c r="X340" s="193"/>
      <c r="Y340" s="196"/>
    </row>
    <row r="341" spans="1:25" ht="30">
      <c r="A341" s="185">
        <v>340</v>
      </c>
      <c r="B341" s="185" t="s">
        <v>25</v>
      </c>
      <c r="C341" s="187" t="s">
        <v>1505</v>
      </c>
      <c r="D341" s="210" t="s">
        <v>1506</v>
      </c>
      <c r="E341" s="186" t="s">
        <v>28</v>
      </c>
      <c r="F341" s="185" t="s">
        <v>348</v>
      </c>
      <c r="G341" s="211" t="s">
        <v>56</v>
      </c>
      <c r="H341" s="185" t="s">
        <v>1507</v>
      </c>
      <c r="I341" s="185" t="s">
        <v>1507</v>
      </c>
      <c r="J341" s="189">
        <v>45984</v>
      </c>
      <c r="K341" s="185">
        <v>2025</v>
      </c>
      <c r="L341" s="189">
        <v>45986</v>
      </c>
      <c r="M341" s="190">
        <v>0.58333333333333304</v>
      </c>
      <c r="N341" s="191" t="s">
        <v>817</v>
      </c>
      <c r="O341" s="191" t="s">
        <v>1508</v>
      </c>
      <c r="P341" s="191" t="s">
        <v>34</v>
      </c>
      <c r="Q341" s="191" t="s">
        <v>1509</v>
      </c>
      <c r="R341" s="192">
        <v>3</v>
      </c>
      <c r="S341" s="191"/>
      <c r="T341" s="191"/>
      <c r="U341" s="193"/>
      <c r="V341" s="194"/>
      <c r="W341" s="195"/>
      <c r="X341" s="193"/>
      <c r="Y341" s="196"/>
    </row>
    <row r="342" spans="1:25" ht="45">
      <c r="A342" s="185">
        <v>341</v>
      </c>
      <c r="B342" s="185" t="s">
        <v>25</v>
      </c>
      <c r="C342" s="187" t="s">
        <v>1510</v>
      </c>
      <c r="D342" s="210" t="s">
        <v>460</v>
      </c>
      <c r="E342" s="186" t="s">
        <v>49</v>
      </c>
      <c r="F342" s="185" t="s">
        <v>348</v>
      </c>
      <c r="G342" s="211" t="s">
        <v>70</v>
      </c>
      <c r="H342" s="185" t="s">
        <v>1511</v>
      </c>
      <c r="I342" s="185" t="s">
        <v>51</v>
      </c>
      <c r="J342" s="189">
        <v>45992</v>
      </c>
      <c r="K342" s="185">
        <v>2025</v>
      </c>
      <c r="L342" s="189">
        <v>45993</v>
      </c>
      <c r="M342" s="190">
        <v>1750.74305555556</v>
      </c>
      <c r="N342" s="191" t="s">
        <v>1512</v>
      </c>
      <c r="O342" s="191" t="s">
        <v>1513</v>
      </c>
      <c r="P342" s="191" t="s">
        <v>34</v>
      </c>
      <c r="Q342" s="191" t="s">
        <v>1514</v>
      </c>
      <c r="R342" s="192">
        <v>0</v>
      </c>
      <c r="S342" s="191"/>
      <c r="T342" s="191"/>
      <c r="U342" s="193"/>
      <c r="V342" s="194"/>
      <c r="W342" s="195"/>
      <c r="X342" s="193"/>
      <c r="Y342" s="196"/>
    </row>
    <row r="343" spans="1:25" ht="32.25" customHeight="1">
      <c r="A343" s="185">
        <v>342</v>
      </c>
      <c r="B343" s="185" t="s">
        <v>25</v>
      </c>
      <c r="C343" s="187" t="s">
        <v>1515</v>
      </c>
      <c r="D343" s="210" t="s">
        <v>1516</v>
      </c>
      <c r="E343" s="186" t="s">
        <v>49</v>
      </c>
      <c r="F343" s="185" t="s">
        <v>348</v>
      </c>
      <c r="G343" s="211" t="s">
        <v>70</v>
      </c>
      <c r="H343" s="185" t="s">
        <v>436</v>
      </c>
      <c r="I343" s="185" t="s">
        <v>1225</v>
      </c>
      <c r="J343" s="189">
        <v>46005</v>
      </c>
      <c r="K343" s="185">
        <v>2025</v>
      </c>
      <c r="L343" s="189">
        <v>46006</v>
      </c>
      <c r="M343" s="190">
        <v>1750.7951388888901</v>
      </c>
      <c r="N343" s="191" t="s">
        <v>1517</v>
      </c>
      <c r="O343" s="191" t="s">
        <v>53</v>
      </c>
      <c r="P343" s="191" t="s">
        <v>144</v>
      </c>
      <c r="Q343" s="191" t="s">
        <v>1518</v>
      </c>
      <c r="R343" s="192">
        <v>0</v>
      </c>
      <c r="S343" s="191"/>
      <c r="T343" s="191"/>
      <c r="U343" s="193"/>
      <c r="V343" s="194"/>
      <c r="W343" s="195"/>
      <c r="X343" s="193"/>
      <c r="Y343" s="196"/>
    </row>
    <row r="344" spans="1:25" ht="28.5" customHeight="1">
      <c r="A344" s="185">
        <v>343</v>
      </c>
      <c r="B344" s="185" t="s">
        <v>25</v>
      </c>
      <c r="C344" s="187" t="s">
        <v>1519</v>
      </c>
      <c r="D344" s="210" t="s">
        <v>1520</v>
      </c>
      <c r="E344" s="186" t="s">
        <v>49</v>
      </c>
      <c r="F344" s="185" t="s">
        <v>348</v>
      </c>
      <c r="G344" s="211" t="s">
        <v>70</v>
      </c>
      <c r="H344" s="185" t="s">
        <v>1521</v>
      </c>
      <c r="I344" s="185" t="s">
        <v>692</v>
      </c>
      <c r="J344" s="189">
        <v>46006</v>
      </c>
      <c r="K344" s="185">
        <v>2025</v>
      </c>
      <c r="L344" s="189">
        <v>46010</v>
      </c>
      <c r="M344" s="190">
        <v>1750.7506944444399</v>
      </c>
      <c r="N344" s="191" t="s">
        <v>1522</v>
      </c>
      <c r="O344" s="191" t="s">
        <v>1523</v>
      </c>
      <c r="P344" s="191" t="s">
        <v>34</v>
      </c>
      <c r="Q344" s="191" t="s">
        <v>1524</v>
      </c>
      <c r="R344" s="192">
        <v>0</v>
      </c>
      <c r="S344" s="191"/>
      <c r="T344" s="191"/>
      <c r="U344" s="193"/>
      <c r="V344" s="194"/>
      <c r="W344" s="195"/>
      <c r="X344" s="193"/>
      <c r="Y344" s="196"/>
    </row>
    <row r="345" spans="1:25" ht="30">
      <c r="A345" s="212">
        <v>344</v>
      </c>
      <c r="B345" s="212" t="s">
        <v>25</v>
      </c>
      <c r="C345" s="212" t="s">
        <v>1525</v>
      </c>
      <c r="D345" s="213" t="s">
        <v>1526</v>
      </c>
      <c r="E345" s="214" t="s">
        <v>49</v>
      </c>
      <c r="F345" s="212" t="s">
        <v>348</v>
      </c>
      <c r="G345" s="215" t="s">
        <v>124</v>
      </c>
      <c r="H345" s="212" t="s">
        <v>1299</v>
      </c>
      <c r="I345" s="212" t="s">
        <v>1527</v>
      </c>
      <c r="J345" s="216">
        <v>46037</v>
      </c>
      <c r="K345" s="212">
        <v>2026</v>
      </c>
      <c r="L345" s="216">
        <v>46037</v>
      </c>
      <c r="M345" s="217">
        <v>1750.53819444444</v>
      </c>
      <c r="N345" s="218" t="s">
        <v>209</v>
      </c>
      <c r="O345" s="218" t="s">
        <v>1528</v>
      </c>
      <c r="P345" s="218" t="s">
        <v>34</v>
      </c>
      <c r="Q345" s="218" t="s">
        <v>1159</v>
      </c>
      <c r="R345" s="219">
        <v>0</v>
      </c>
      <c r="S345" s="218"/>
      <c r="T345" s="218"/>
      <c r="U345" s="220"/>
      <c r="V345" s="221"/>
      <c r="W345" s="222"/>
      <c r="X345" s="220"/>
      <c r="Y345" s="223"/>
    </row>
    <row r="346" spans="1:25" ht="30">
      <c r="A346" s="212">
        <v>345</v>
      </c>
      <c r="B346" s="212" t="s">
        <v>25</v>
      </c>
      <c r="C346" s="212" t="s">
        <v>1529</v>
      </c>
      <c r="D346" s="213" t="s">
        <v>1530</v>
      </c>
      <c r="E346" s="214" t="s">
        <v>49</v>
      </c>
      <c r="F346" s="212" t="s">
        <v>412</v>
      </c>
      <c r="G346" s="215" t="s">
        <v>124</v>
      </c>
      <c r="H346" s="212" t="s">
        <v>1531</v>
      </c>
      <c r="I346" s="212" t="s">
        <v>1532</v>
      </c>
      <c r="J346" s="216">
        <v>46042</v>
      </c>
      <c r="K346" s="212">
        <v>2026</v>
      </c>
      <c r="L346" s="216">
        <v>46042</v>
      </c>
      <c r="M346" s="217">
        <v>1750.4375</v>
      </c>
      <c r="N346" s="218" t="s">
        <v>1533</v>
      </c>
      <c r="O346" s="218" t="s">
        <v>1534</v>
      </c>
      <c r="P346" s="218" t="s">
        <v>34</v>
      </c>
      <c r="Q346" s="218" t="s">
        <v>66</v>
      </c>
      <c r="R346" s="219">
        <v>0</v>
      </c>
      <c r="S346" s="218"/>
      <c r="T346" s="218"/>
      <c r="U346" s="220"/>
      <c r="V346" s="221"/>
      <c r="W346" s="222"/>
      <c r="X346" s="220"/>
      <c r="Y346" s="223"/>
    </row>
    <row r="347" spans="1:25" ht="28.5" customHeight="1">
      <c r="A347" s="212">
        <v>346</v>
      </c>
      <c r="B347" s="212" t="s">
        <v>25</v>
      </c>
      <c r="C347" s="212" t="s">
        <v>1535</v>
      </c>
      <c r="D347" s="213" t="s">
        <v>1536</v>
      </c>
      <c r="E347" s="214" t="s">
        <v>49</v>
      </c>
      <c r="F347" s="212" t="s">
        <v>358</v>
      </c>
      <c r="G347" s="215" t="s">
        <v>124</v>
      </c>
      <c r="H347" s="212" t="s">
        <v>644</v>
      </c>
      <c r="I347" s="212" t="s">
        <v>644</v>
      </c>
      <c r="J347" s="216">
        <v>46042</v>
      </c>
      <c r="K347" s="212">
        <v>2026</v>
      </c>
      <c r="L347" s="216">
        <v>46045</v>
      </c>
      <c r="M347" s="217">
        <v>0.41666666666666702</v>
      </c>
      <c r="N347" s="218" t="s">
        <v>1537</v>
      </c>
      <c r="O347" s="218" t="s">
        <v>1538</v>
      </c>
      <c r="P347" s="218" t="s">
        <v>34</v>
      </c>
      <c r="Q347" s="218" t="s">
        <v>628</v>
      </c>
      <c r="R347" s="219">
        <v>2</v>
      </c>
      <c r="S347" s="218"/>
      <c r="T347" s="218"/>
      <c r="U347" s="220"/>
      <c r="V347" s="221"/>
      <c r="W347" s="222"/>
      <c r="X347" s="220"/>
      <c r="Y347" s="223"/>
    </row>
    <row r="348" spans="1:25" ht="28.5" customHeight="1">
      <c r="A348" s="212">
        <v>347</v>
      </c>
      <c r="B348" s="212" t="s">
        <v>25</v>
      </c>
      <c r="C348" s="212" t="s">
        <v>1539</v>
      </c>
      <c r="D348" s="213" t="s">
        <v>1540</v>
      </c>
      <c r="E348" s="214" t="s">
        <v>49</v>
      </c>
      <c r="F348" s="212" t="s">
        <v>358</v>
      </c>
      <c r="G348" s="215" t="s">
        <v>75</v>
      </c>
      <c r="H348" s="212" t="s">
        <v>473</v>
      </c>
      <c r="I348" s="212" t="s">
        <v>473</v>
      </c>
      <c r="J348" s="216">
        <v>46064</v>
      </c>
      <c r="K348" s="212">
        <v>2026</v>
      </c>
      <c r="L348" s="216">
        <v>46065</v>
      </c>
      <c r="M348" s="217">
        <v>0.16666666666666699</v>
      </c>
      <c r="N348" s="218" t="s">
        <v>1124</v>
      </c>
      <c r="O348" s="218" t="s">
        <v>670</v>
      </c>
      <c r="P348" s="218" t="s">
        <v>34</v>
      </c>
      <c r="Q348" s="218" t="s">
        <v>1017</v>
      </c>
      <c r="R348" s="219">
        <v>3</v>
      </c>
      <c r="S348" s="218"/>
      <c r="T348" s="218"/>
      <c r="U348" s="220"/>
      <c r="V348" s="221"/>
      <c r="W348" s="222"/>
      <c r="X348" s="220"/>
      <c r="Y348" s="223"/>
    </row>
    <row r="349" spans="1:25" ht="28.5" customHeight="1">
      <c r="A349" s="224">
        <v>348</v>
      </c>
      <c r="B349" s="224" t="s">
        <v>25</v>
      </c>
      <c r="C349" s="224" t="s">
        <v>1541</v>
      </c>
      <c r="D349" s="225" t="s">
        <v>1542</v>
      </c>
      <c r="E349" s="226" t="s">
        <v>49</v>
      </c>
      <c r="F349" s="224" t="s">
        <v>148</v>
      </c>
      <c r="G349" s="227" t="s">
        <v>75</v>
      </c>
      <c r="H349" s="224" t="s">
        <v>208</v>
      </c>
      <c r="I349" s="224" t="s">
        <v>208</v>
      </c>
      <c r="J349" s="228">
        <v>46079</v>
      </c>
      <c r="K349" s="224">
        <v>2026</v>
      </c>
      <c r="L349" s="228">
        <v>46083</v>
      </c>
      <c r="M349" s="229">
        <v>0.95833333333333304</v>
      </c>
      <c r="N349" s="230" t="s">
        <v>992</v>
      </c>
      <c r="O349" s="230" t="s">
        <v>704</v>
      </c>
      <c r="P349" s="230" t="s">
        <v>34</v>
      </c>
      <c r="Q349" s="230" t="s">
        <v>45</v>
      </c>
      <c r="R349" s="231">
        <v>0</v>
      </c>
      <c r="S349" s="230"/>
      <c r="T349" s="230"/>
      <c r="U349" s="232"/>
      <c r="V349" s="233"/>
      <c r="W349" s="234"/>
      <c r="X349" s="232"/>
      <c r="Y349" s="235"/>
    </row>
    <row r="350" spans="1:25" ht="43.5" customHeight="1">
      <c r="A350" s="212">
        <v>349</v>
      </c>
      <c r="B350" s="212" t="s">
        <v>25</v>
      </c>
      <c r="C350" s="224" t="s">
        <v>1543</v>
      </c>
      <c r="D350" s="213" t="s">
        <v>958</v>
      </c>
      <c r="E350" s="214" t="s">
        <v>49</v>
      </c>
      <c r="F350" s="212" t="s">
        <v>358</v>
      </c>
      <c r="G350" s="215" t="s">
        <v>134</v>
      </c>
      <c r="H350" s="212" t="s">
        <v>1544</v>
      </c>
      <c r="I350" s="212" t="s">
        <v>1545</v>
      </c>
      <c r="J350" s="216">
        <v>46082</v>
      </c>
      <c r="K350" s="212">
        <v>2026</v>
      </c>
      <c r="L350" s="216">
        <v>46083</v>
      </c>
      <c r="M350" s="217">
        <v>0.6875</v>
      </c>
      <c r="N350" s="218" t="s">
        <v>1546</v>
      </c>
      <c r="O350" s="218" t="s">
        <v>1547</v>
      </c>
      <c r="P350" s="218" t="s">
        <v>764</v>
      </c>
      <c r="Q350" s="218" t="s">
        <v>1548</v>
      </c>
      <c r="R350" s="219">
        <v>8</v>
      </c>
      <c r="S350" s="218"/>
      <c r="T350" s="218"/>
      <c r="U350" s="220"/>
      <c r="V350" s="221"/>
      <c r="W350" s="222"/>
      <c r="X350" s="220"/>
      <c r="Y350" s="223"/>
    </row>
    <row r="351" spans="1:25" ht="30">
      <c r="A351" s="212">
        <v>350</v>
      </c>
      <c r="B351" s="212" t="s">
        <v>25</v>
      </c>
      <c r="C351" s="224" t="s">
        <v>1549</v>
      </c>
      <c r="D351" s="213" t="s">
        <v>562</v>
      </c>
      <c r="E351" s="214" t="s">
        <v>49</v>
      </c>
      <c r="F351" s="212" t="s">
        <v>358</v>
      </c>
      <c r="G351" s="215" t="s">
        <v>134</v>
      </c>
      <c r="H351" s="212" t="s">
        <v>1550</v>
      </c>
      <c r="I351" s="212" t="s">
        <v>1507</v>
      </c>
      <c r="J351" s="216">
        <v>46083</v>
      </c>
      <c r="K351" s="212">
        <v>2026</v>
      </c>
      <c r="L351" s="216">
        <v>46099</v>
      </c>
      <c r="M351" s="217">
        <v>0.26874999999999999</v>
      </c>
      <c r="N351" s="218" t="s">
        <v>1048</v>
      </c>
      <c r="O351" s="218" t="s">
        <v>297</v>
      </c>
      <c r="P351" s="218" t="s">
        <v>144</v>
      </c>
      <c r="Q351" s="218" t="s">
        <v>261</v>
      </c>
      <c r="R351" s="219">
        <v>12</v>
      </c>
      <c r="S351" s="218"/>
      <c r="T351" s="218"/>
      <c r="U351" s="220"/>
      <c r="V351" s="221"/>
      <c r="W351" s="222"/>
      <c r="X351" s="220"/>
      <c r="Y351" s="223"/>
    </row>
    <row r="352" spans="1:25" ht="15">
      <c r="A352" s="212">
        <v>351</v>
      </c>
      <c r="B352" s="212" t="s">
        <v>25</v>
      </c>
      <c r="C352" s="224" t="s">
        <v>1551</v>
      </c>
      <c r="D352" s="213" t="s">
        <v>1552</v>
      </c>
      <c r="E352" s="214" t="s">
        <v>49</v>
      </c>
      <c r="F352" s="212" t="s">
        <v>514</v>
      </c>
      <c r="G352" s="215" t="s">
        <v>134</v>
      </c>
      <c r="H352" s="212" t="s">
        <v>1553</v>
      </c>
      <c r="I352" s="212" t="s">
        <v>1553</v>
      </c>
      <c r="J352" s="216">
        <v>46082</v>
      </c>
      <c r="K352" s="212">
        <v>2026</v>
      </c>
      <c r="L352" s="216">
        <v>46085</v>
      </c>
      <c r="M352" s="217">
        <v>0.34722222222222199</v>
      </c>
      <c r="N352" s="218" t="s">
        <v>1554</v>
      </c>
      <c r="O352" s="218" t="s">
        <v>1555</v>
      </c>
      <c r="P352" s="218" t="s">
        <v>34</v>
      </c>
      <c r="Q352" s="218" t="s">
        <v>1556</v>
      </c>
      <c r="R352" s="219">
        <v>0</v>
      </c>
      <c r="S352" s="218"/>
      <c r="T352" s="218"/>
      <c r="U352" s="220"/>
      <c r="V352" s="221"/>
      <c r="W352" s="222"/>
      <c r="X352" s="220"/>
      <c r="Y352" s="223"/>
    </row>
    <row r="353" spans="1:25" ht="15">
      <c r="A353" s="212">
        <v>352</v>
      </c>
      <c r="B353" s="212" t="s">
        <v>25</v>
      </c>
      <c r="C353" s="224" t="s">
        <v>1557</v>
      </c>
      <c r="D353" s="213" t="s">
        <v>954</v>
      </c>
      <c r="E353" s="214" t="s">
        <v>49</v>
      </c>
      <c r="F353" s="212" t="s">
        <v>358</v>
      </c>
      <c r="G353" s="215" t="s">
        <v>134</v>
      </c>
      <c r="H353" s="212" t="s">
        <v>1558</v>
      </c>
      <c r="I353" s="212" t="s">
        <v>63</v>
      </c>
      <c r="J353" s="216">
        <v>46104</v>
      </c>
      <c r="K353" s="212">
        <v>2026</v>
      </c>
      <c r="L353" s="216">
        <v>46104</v>
      </c>
      <c r="M353" s="217">
        <v>0.6875</v>
      </c>
      <c r="N353" s="218" t="s">
        <v>1221</v>
      </c>
      <c r="O353" s="218" t="s">
        <v>1559</v>
      </c>
      <c r="P353" s="218" t="s">
        <v>34</v>
      </c>
      <c r="Q353" s="218" t="s">
        <v>35</v>
      </c>
      <c r="R353" s="219">
        <v>12</v>
      </c>
      <c r="S353" s="218"/>
      <c r="T353" s="218"/>
      <c r="U353" s="220"/>
      <c r="V353" s="221"/>
      <c r="W353" s="222"/>
      <c r="X353" s="220"/>
      <c r="Y353" s="223"/>
    </row>
    <row r="354" spans="1:25" ht="15">
      <c r="A354" s="212">
        <v>353</v>
      </c>
      <c r="B354" s="212" t="s">
        <v>25</v>
      </c>
      <c r="C354" s="212" t="s">
        <v>1560</v>
      </c>
      <c r="D354" s="213" t="s">
        <v>1561</v>
      </c>
      <c r="E354" s="214" t="s">
        <v>28</v>
      </c>
      <c r="F354" s="212" t="s">
        <v>348</v>
      </c>
      <c r="G354" s="215" t="s">
        <v>134</v>
      </c>
      <c r="H354" s="212" t="s">
        <v>51</v>
      </c>
      <c r="I354" s="212" t="s">
        <v>51</v>
      </c>
      <c r="J354" s="216">
        <v>46107</v>
      </c>
      <c r="K354" s="212">
        <v>2026</v>
      </c>
      <c r="L354" s="216">
        <v>46111</v>
      </c>
      <c r="M354" s="217">
        <v>0.51249999999999996</v>
      </c>
      <c r="N354" s="218" t="s">
        <v>1107</v>
      </c>
      <c r="O354" s="218" t="s">
        <v>1562</v>
      </c>
      <c r="P354" s="218" t="s">
        <v>34</v>
      </c>
      <c r="Q354" s="218" t="s">
        <v>1563</v>
      </c>
      <c r="R354" s="219">
        <v>3</v>
      </c>
      <c r="S354" s="218"/>
      <c r="T354" s="218"/>
      <c r="U354" s="220"/>
      <c r="V354" s="221"/>
      <c r="W354" s="222"/>
      <c r="X354" s="220"/>
      <c r="Y354" s="223"/>
    </row>
    <row r="355" spans="1:25" ht="38.25" customHeight="1">
      <c r="A355" s="212">
        <v>354</v>
      </c>
      <c r="B355" s="212" t="s">
        <v>25</v>
      </c>
      <c r="C355" s="212" t="s">
        <v>1564</v>
      </c>
      <c r="D355" s="213" t="s">
        <v>1565</v>
      </c>
      <c r="E355" s="214" t="s">
        <v>49</v>
      </c>
      <c r="F355" s="212" t="s">
        <v>348</v>
      </c>
      <c r="G355" s="215" t="s">
        <v>149</v>
      </c>
      <c r="H355" s="212" t="s">
        <v>1566</v>
      </c>
      <c r="I355" s="212" t="s">
        <v>1225</v>
      </c>
      <c r="J355" s="216">
        <v>46134</v>
      </c>
      <c r="K355" s="212">
        <v>2026</v>
      </c>
      <c r="L355" s="216">
        <v>46135</v>
      </c>
      <c r="M355" s="217">
        <v>0.4375</v>
      </c>
      <c r="N355" s="218" t="s">
        <v>32</v>
      </c>
      <c r="O355" s="218" t="s">
        <v>1559</v>
      </c>
      <c r="P355" s="218" t="s">
        <v>34</v>
      </c>
      <c r="Q355" s="218" t="s">
        <v>35</v>
      </c>
      <c r="R355" s="219">
        <v>0</v>
      </c>
      <c r="S355" s="218"/>
      <c r="T355" s="218"/>
      <c r="U355" s="220"/>
      <c r="V355" s="221"/>
      <c r="W355" s="222"/>
      <c r="X355" s="220"/>
      <c r="Y355" s="223"/>
    </row>
    <row r="356" spans="1:25" ht="27" customHeight="1">
      <c r="A356" s="212">
        <v>355</v>
      </c>
      <c r="B356" s="212" t="s">
        <v>25</v>
      </c>
      <c r="C356" s="212" t="s">
        <v>1567</v>
      </c>
      <c r="D356" s="213" t="s">
        <v>1568</v>
      </c>
      <c r="E356" s="214" t="s">
        <v>28</v>
      </c>
      <c r="F356" s="212" t="s">
        <v>348</v>
      </c>
      <c r="G356" s="215" t="s">
        <v>244</v>
      </c>
      <c r="H356" s="212" t="s">
        <v>57</v>
      </c>
      <c r="I356" s="212" t="s">
        <v>57</v>
      </c>
      <c r="J356" s="216">
        <v>46148</v>
      </c>
      <c r="K356" s="212">
        <v>2026</v>
      </c>
      <c r="L356" s="216">
        <v>46149</v>
      </c>
      <c r="M356" s="217">
        <v>0.89583333333333304</v>
      </c>
      <c r="N356" s="218" t="s">
        <v>64</v>
      </c>
      <c r="O356" s="218" t="s">
        <v>240</v>
      </c>
      <c r="P356" s="218" t="s">
        <v>34</v>
      </c>
      <c r="Q356" s="218" t="s">
        <v>1159</v>
      </c>
      <c r="R356" s="219">
        <v>0</v>
      </c>
      <c r="S356" s="218"/>
      <c r="T356" s="218"/>
      <c r="U356" s="220"/>
      <c r="V356" s="221"/>
      <c r="W356" s="222"/>
      <c r="X356" s="220"/>
      <c r="Y356" s="223"/>
    </row>
    <row r="357" spans="1:25" ht="15">
      <c r="A357" s="212">
        <v>356</v>
      </c>
      <c r="B357" s="212" t="s">
        <v>25</v>
      </c>
      <c r="C357" s="212" t="s">
        <v>1569</v>
      </c>
      <c r="D357" s="213" t="s">
        <v>1570</v>
      </c>
      <c r="E357" s="214" t="s">
        <v>49</v>
      </c>
      <c r="F357" s="212" t="s">
        <v>148</v>
      </c>
      <c r="G357" s="215" t="s">
        <v>244</v>
      </c>
      <c r="H357" s="212" t="s">
        <v>1571</v>
      </c>
      <c r="I357" s="212" t="s">
        <v>1571</v>
      </c>
      <c r="J357" s="216">
        <v>46149</v>
      </c>
      <c r="K357" s="212">
        <v>2026</v>
      </c>
      <c r="L357" s="216">
        <v>46154</v>
      </c>
      <c r="M357" s="217">
        <v>0.9375</v>
      </c>
      <c r="N357" s="218" t="s">
        <v>64</v>
      </c>
      <c r="O357" s="218" t="s">
        <v>240</v>
      </c>
      <c r="P357" s="218" t="s">
        <v>34</v>
      </c>
      <c r="Q357" s="218" t="s">
        <v>1572</v>
      </c>
      <c r="R357" s="219">
        <v>1</v>
      </c>
      <c r="S357" s="218"/>
      <c r="T357" s="218"/>
      <c r="U357" s="220"/>
      <c r="V357" s="221"/>
      <c r="W357" s="222"/>
      <c r="X357" s="220"/>
      <c r="Y357" s="223"/>
    </row>
    <row r="358" spans="1:25" ht="30">
      <c r="A358" s="212">
        <v>357</v>
      </c>
      <c r="B358" s="212" t="s">
        <v>25</v>
      </c>
      <c r="C358" s="212" t="s">
        <v>1573</v>
      </c>
      <c r="D358" s="213" t="s">
        <v>1574</v>
      </c>
      <c r="E358" s="214" t="s">
        <v>49</v>
      </c>
      <c r="F358" s="212" t="s">
        <v>348</v>
      </c>
      <c r="G358" s="215" t="s">
        <v>244</v>
      </c>
      <c r="H358" s="212" t="s">
        <v>1575</v>
      </c>
      <c r="I358" s="212" t="s">
        <v>1576</v>
      </c>
      <c r="J358" s="216">
        <v>46156</v>
      </c>
      <c r="K358" s="212">
        <v>2026</v>
      </c>
      <c r="L358" s="216">
        <v>46162</v>
      </c>
      <c r="M358" s="217">
        <v>0.375</v>
      </c>
      <c r="N358" s="218" t="s">
        <v>1577</v>
      </c>
      <c r="O358" s="218" t="s">
        <v>1578</v>
      </c>
      <c r="P358" s="218" t="s">
        <v>34</v>
      </c>
      <c r="Q358" s="218" t="s">
        <v>1579</v>
      </c>
      <c r="R358" s="219">
        <v>0</v>
      </c>
      <c r="S358" s="218"/>
      <c r="T358" s="218"/>
      <c r="U358" s="220"/>
      <c r="V358" s="221"/>
      <c r="W358" s="222"/>
      <c r="X358" s="220"/>
      <c r="Y358" s="223"/>
    </row>
    <row r="359" spans="1:25" ht="30">
      <c r="A359" s="212">
        <v>358</v>
      </c>
      <c r="B359" s="212" t="s">
        <v>25</v>
      </c>
      <c r="C359" s="212" t="s">
        <v>1580</v>
      </c>
      <c r="D359" s="213" t="s">
        <v>1053</v>
      </c>
      <c r="E359" s="214" t="s">
        <v>49</v>
      </c>
      <c r="F359" s="212" t="s">
        <v>887</v>
      </c>
      <c r="G359" s="215" t="s">
        <v>244</v>
      </c>
      <c r="H359" s="212" t="s">
        <v>1581</v>
      </c>
      <c r="I359" s="212" t="s">
        <v>1582</v>
      </c>
      <c r="J359" s="216">
        <v>45792</v>
      </c>
      <c r="K359" s="212">
        <v>2026</v>
      </c>
      <c r="L359" s="216">
        <v>46163</v>
      </c>
      <c r="M359" s="217">
        <v>0.55069444444444404</v>
      </c>
      <c r="N359" s="218" t="s">
        <v>142</v>
      </c>
      <c r="O359" s="218" t="s">
        <v>222</v>
      </c>
      <c r="P359" s="218" t="s">
        <v>34</v>
      </c>
      <c r="Q359" s="218" t="s">
        <v>482</v>
      </c>
      <c r="R359" s="219">
        <v>8</v>
      </c>
      <c r="S359" s="218"/>
      <c r="T359" s="218"/>
      <c r="U359" s="220"/>
      <c r="V359" s="221"/>
      <c r="W359" s="222"/>
      <c r="X359" s="220"/>
      <c r="Y359" s="223"/>
    </row>
    <row r="360" spans="1:25" ht="30">
      <c r="A360" s="212">
        <v>359</v>
      </c>
      <c r="B360" s="212" t="s">
        <v>25</v>
      </c>
      <c r="C360" s="212" t="s">
        <v>1583</v>
      </c>
      <c r="D360" s="213" t="s">
        <v>877</v>
      </c>
      <c r="E360" s="214" t="s">
        <v>49</v>
      </c>
      <c r="F360" s="212" t="s">
        <v>148</v>
      </c>
      <c r="G360" s="215" t="s">
        <v>244</v>
      </c>
      <c r="H360" s="212" t="s">
        <v>1584</v>
      </c>
      <c r="I360" s="212" t="s">
        <v>1585</v>
      </c>
      <c r="J360" s="216">
        <v>45798</v>
      </c>
      <c r="K360" s="212">
        <v>2026</v>
      </c>
      <c r="L360" s="216">
        <v>46168</v>
      </c>
      <c r="M360" s="217">
        <v>0.39583333333333298</v>
      </c>
      <c r="N360" s="218" t="s">
        <v>1267</v>
      </c>
      <c r="O360" s="218" t="s">
        <v>222</v>
      </c>
      <c r="P360" s="218" t="s">
        <v>34</v>
      </c>
      <c r="Q360" s="218" t="s">
        <v>173</v>
      </c>
      <c r="R360" s="219">
        <v>7</v>
      </c>
      <c r="S360" s="218"/>
      <c r="T360" s="218"/>
      <c r="U360" s="220"/>
      <c r="V360" s="221"/>
      <c r="W360" s="222"/>
      <c r="X360" s="220"/>
      <c r="Y360" s="223"/>
    </row>
    <row r="361" spans="1:25" ht="45">
      <c r="A361" s="212">
        <v>360</v>
      </c>
      <c r="B361" s="212" t="s">
        <v>25</v>
      </c>
      <c r="C361" s="212" t="s">
        <v>1586</v>
      </c>
      <c r="D361" s="213" t="s">
        <v>834</v>
      </c>
      <c r="E361" s="214" t="s">
        <v>49</v>
      </c>
      <c r="F361" s="212" t="s">
        <v>348</v>
      </c>
      <c r="G361" s="215" t="s">
        <v>244</v>
      </c>
      <c r="H361" s="212" t="s">
        <v>1587</v>
      </c>
      <c r="I361" s="212" t="s">
        <v>51</v>
      </c>
      <c r="J361" s="216">
        <v>45800</v>
      </c>
      <c r="K361" s="212">
        <v>2026</v>
      </c>
      <c r="L361" s="216">
        <v>46174</v>
      </c>
      <c r="M361" s="217">
        <v>0.83333333333333304</v>
      </c>
      <c r="N361" s="218" t="s">
        <v>812</v>
      </c>
      <c r="O361" s="218" t="s">
        <v>1588</v>
      </c>
      <c r="P361" s="218" t="s">
        <v>34</v>
      </c>
      <c r="Q361" s="218" t="s">
        <v>298</v>
      </c>
      <c r="R361" s="219">
        <v>0</v>
      </c>
      <c r="S361" s="218"/>
      <c r="T361" s="218"/>
      <c r="U361" s="220"/>
      <c r="V361" s="221"/>
      <c r="W361" s="222"/>
      <c r="X361" s="220"/>
      <c r="Y361" s="223"/>
    </row>
    <row r="362" spans="1:25" ht="30">
      <c r="A362" s="212">
        <v>361</v>
      </c>
      <c r="B362" s="212" t="s">
        <v>25</v>
      </c>
      <c r="C362" s="224" t="s">
        <v>1589</v>
      </c>
      <c r="D362" s="225" t="s">
        <v>1206</v>
      </c>
      <c r="E362" s="226" t="s">
        <v>49</v>
      </c>
      <c r="F362" s="224" t="s">
        <v>156</v>
      </c>
      <c r="G362" s="227" t="s">
        <v>244</v>
      </c>
      <c r="H362" s="224" t="s">
        <v>1590</v>
      </c>
      <c r="I362" s="224" t="s">
        <v>1163</v>
      </c>
      <c r="J362" s="228">
        <v>46169</v>
      </c>
      <c r="K362" s="224">
        <v>2026</v>
      </c>
      <c r="L362" s="228">
        <v>46171</v>
      </c>
      <c r="M362" s="229">
        <v>0.41666666666666702</v>
      </c>
      <c r="N362" s="230" t="s">
        <v>735</v>
      </c>
      <c r="O362" s="230" t="s">
        <v>1591</v>
      </c>
      <c r="P362" s="218" t="s">
        <v>34</v>
      </c>
      <c r="Q362" s="230" t="s">
        <v>35</v>
      </c>
      <c r="R362" s="231">
        <v>0</v>
      </c>
      <c r="S362" s="230"/>
      <c r="T362" s="230"/>
      <c r="U362" s="232"/>
      <c r="V362" s="233"/>
      <c r="W362" s="234"/>
      <c r="X362" s="232"/>
      <c r="Y362" s="235"/>
    </row>
    <row r="363" spans="1:25" ht="27.75" customHeight="1">
      <c r="A363" s="212">
        <v>362</v>
      </c>
      <c r="B363" s="212" t="s">
        <v>25</v>
      </c>
      <c r="C363" s="224" t="s">
        <v>1592</v>
      </c>
      <c r="D363" s="225" t="s">
        <v>1491</v>
      </c>
      <c r="E363" s="226" t="s">
        <v>28</v>
      </c>
      <c r="F363" s="224" t="s">
        <v>348</v>
      </c>
      <c r="G363" s="227" t="s">
        <v>244</v>
      </c>
      <c r="H363" s="224" t="s">
        <v>436</v>
      </c>
      <c r="I363" s="224" t="s">
        <v>76</v>
      </c>
      <c r="J363" s="228">
        <v>46170</v>
      </c>
      <c r="K363" s="224">
        <v>2026</v>
      </c>
      <c r="L363" s="228">
        <v>46175</v>
      </c>
      <c r="M363" s="229">
        <v>0.80555555555555602</v>
      </c>
      <c r="N363" s="230" t="s">
        <v>176</v>
      </c>
      <c r="O363" s="230" t="s">
        <v>297</v>
      </c>
      <c r="P363" s="230" t="s">
        <v>144</v>
      </c>
      <c r="Q363" s="230" t="s">
        <v>1593</v>
      </c>
      <c r="R363" s="231">
        <v>30</v>
      </c>
      <c r="S363" s="230"/>
      <c r="T363" s="230"/>
      <c r="U363" s="232"/>
      <c r="V363" s="233"/>
      <c r="W363" s="234"/>
      <c r="X363" s="232"/>
      <c r="Y363" s="235"/>
    </row>
    <row r="364" spans="1:25" ht="27.75" customHeight="1">
      <c r="A364" s="212">
        <v>363</v>
      </c>
      <c r="B364" s="212" t="s">
        <v>25</v>
      </c>
      <c r="C364" s="224" t="s">
        <v>1594</v>
      </c>
      <c r="D364" s="225" t="s">
        <v>627</v>
      </c>
      <c r="E364" s="226" t="s">
        <v>28</v>
      </c>
      <c r="F364" s="224" t="s">
        <v>492</v>
      </c>
      <c r="G364" s="227" t="s">
        <v>82</v>
      </c>
      <c r="H364" s="224" t="s">
        <v>1351</v>
      </c>
      <c r="I364" s="224" t="s">
        <v>1351</v>
      </c>
      <c r="J364" s="228">
        <v>46180</v>
      </c>
      <c r="K364" s="224">
        <v>2026</v>
      </c>
      <c r="L364" s="228">
        <v>46190</v>
      </c>
      <c r="M364" s="229">
        <v>0.67361111111111105</v>
      </c>
      <c r="N364" s="230" t="s">
        <v>1595</v>
      </c>
      <c r="O364" s="230" t="s">
        <v>606</v>
      </c>
      <c r="P364" s="230" t="s">
        <v>34</v>
      </c>
      <c r="Q364" s="230" t="s">
        <v>66</v>
      </c>
      <c r="R364" s="231">
        <v>0</v>
      </c>
      <c r="S364" s="230"/>
      <c r="T364" s="230"/>
      <c r="U364" s="232"/>
      <c r="V364" s="233"/>
      <c r="W364" s="234"/>
      <c r="X364" s="232"/>
      <c r="Y364" s="235"/>
    </row>
    <row r="365" spans="1:25" ht="27.75" customHeight="1">
      <c r="A365" s="212">
        <v>364</v>
      </c>
      <c r="B365" s="212" t="s">
        <v>25</v>
      </c>
      <c r="C365" s="224" t="s">
        <v>1596</v>
      </c>
      <c r="D365" s="225" t="s">
        <v>1597</v>
      </c>
      <c r="E365" s="226" t="s">
        <v>49</v>
      </c>
      <c r="F365" s="224" t="s">
        <v>358</v>
      </c>
      <c r="G365" s="227" t="s">
        <v>82</v>
      </c>
      <c r="H365" s="224" t="s">
        <v>436</v>
      </c>
      <c r="I365" s="224" t="s">
        <v>51</v>
      </c>
      <c r="J365" s="228">
        <v>46182</v>
      </c>
      <c r="K365" s="224">
        <v>2026</v>
      </c>
      <c r="L365" s="228">
        <v>46188</v>
      </c>
      <c r="M365" s="229">
        <v>0.47847222222222202</v>
      </c>
      <c r="N365" s="230" t="s">
        <v>125</v>
      </c>
      <c r="O365" s="230" t="s">
        <v>1242</v>
      </c>
      <c r="P365" s="230" t="s">
        <v>144</v>
      </c>
      <c r="Q365" s="230" t="s">
        <v>1598</v>
      </c>
      <c r="R365" s="231">
        <v>6</v>
      </c>
      <c r="S365" s="230"/>
      <c r="T365" s="230"/>
      <c r="U365" s="232"/>
      <c r="V365" s="233"/>
      <c r="W365" s="234"/>
      <c r="X365" s="232"/>
      <c r="Y365" s="235"/>
    </row>
    <row r="366" spans="1:25" ht="27.75" customHeight="1">
      <c r="A366" s="212">
        <v>365</v>
      </c>
      <c r="B366" s="212" t="s">
        <v>25</v>
      </c>
      <c r="C366" s="224" t="s">
        <v>1599</v>
      </c>
      <c r="D366" s="225" t="s">
        <v>1600</v>
      </c>
      <c r="E366" s="226" t="s">
        <v>49</v>
      </c>
      <c r="F366" s="224" t="s">
        <v>358</v>
      </c>
      <c r="G366" s="227" t="s">
        <v>82</v>
      </c>
      <c r="H366" s="224" t="s">
        <v>1601</v>
      </c>
      <c r="I366" s="224" t="s">
        <v>511</v>
      </c>
      <c r="J366" s="228">
        <v>46193</v>
      </c>
      <c r="K366" s="224">
        <v>2026</v>
      </c>
      <c r="L366" s="228">
        <v>46193</v>
      </c>
      <c r="M366" s="229">
        <v>0.375</v>
      </c>
      <c r="N366" s="230" t="s">
        <v>1425</v>
      </c>
      <c r="O366" s="230" t="s">
        <v>1493</v>
      </c>
      <c r="P366" s="218" t="s">
        <v>34</v>
      </c>
      <c r="Q366" s="230" t="s">
        <v>1159</v>
      </c>
      <c r="R366" s="231">
        <v>0</v>
      </c>
      <c r="S366" s="230"/>
      <c r="T366" s="230"/>
      <c r="U366" s="232"/>
      <c r="V366" s="233"/>
      <c r="W366" s="234"/>
      <c r="X366" s="232"/>
      <c r="Y366" s="235"/>
    </row>
    <row r="367" spans="1:25" ht="42.75" customHeight="1">
      <c r="A367" s="212">
        <v>366</v>
      </c>
      <c r="B367" s="212" t="s">
        <v>25</v>
      </c>
      <c r="C367" s="224" t="s">
        <v>1602</v>
      </c>
      <c r="D367" s="225" t="s">
        <v>1603</v>
      </c>
      <c r="E367" s="226" t="s">
        <v>49</v>
      </c>
      <c r="F367" s="212" t="s">
        <v>148</v>
      </c>
      <c r="G367" s="227" t="s">
        <v>82</v>
      </c>
      <c r="H367" s="224" t="s">
        <v>1299</v>
      </c>
      <c r="I367" s="224" t="s">
        <v>76</v>
      </c>
      <c r="J367" s="228">
        <v>46196</v>
      </c>
      <c r="K367" s="224">
        <v>2026</v>
      </c>
      <c r="L367" s="228">
        <v>46205</v>
      </c>
      <c r="M367" s="229">
        <v>0.375</v>
      </c>
      <c r="N367" s="230" t="s">
        <v>1554</v>
      </c>
      <c r="O367" s="230" t="s">
        <v>1604</v>
      </c>
      <c r="P367" s="218" t="s">
        <v>34</v>
      </c>
      <c r="Q367" s="230" t="s">
        <v>628</v>
      </c>
      <c r="R367" s="231">
        <v>0</v>
      </c>
      <c r="S367" s="230"/>
      <c r="T367" s="230"/>
      <c r="U367" s="232"/>
      <c r="V367" s="233"/>
      <c r="W367" s="234"/>
      <c r="X367" s="232"/>
      <c r="Y367" s="235"/>
    </row>
    <row r="368" spans="1:25" ht="40.5" customHeight="1">
      <c r="A368" s="212">
        <v>366</v>
      </c>
      <c r="B368" s="212" t="s">
        <v>25</v>
      </c>
      <c r="C368" s="212" t="s">
        <v>1605</v>
      </c>
      <c r="D368" s="213" t="s">
        <v>1606</v>
      </c>
      <c r="E368" s="212" t="s">
        <v>49</v>
      </c>
      <c r="F368" s="212" t="s">
        <v>887</v>
      </c>
      <c r="G368" s="212" t="s">
        <v>157</v>
      </c>
      <c r="H368" s="212" t="s">
        <v>436</v>
      </c>
      <c r="I368" s="212" t="s">
        <v>889</v>
      </c>
      <c r="J368" s="216">
        <v>46199</v>
      </c>
      <c r="K368" s="212">
        <v>2026</v>
      </c>
      <c r="L368" s="216">
        <v>46213</v>
      </c>
      <c r="M368" s="217">
        <v>0.66666666666666696</v>
      </c>
      <c r="N368" s="218" t="s">
        <v>1303</v>
      </c>
      <c r="O368" s="218" t="s">
        <v>796</v>
      </c>
      <c r="P368" s="218" t="s">
        <v>144</v>
      </c>
      <c r="Q368" s="218" t="s">
        <v>267</v>
      </c>
      <c r="R368" s="219">
        <v>45</v>
      </c>
      <c r="S368" s="218"/>
      <c r="T368" s="218"/>
      <c r="U368" s="220"/>
      <c r="V368" s="221"/>
      <c r="W368" s="222"/>
      <c r="X368" s="220"/>
      <c r="Y368" s="223"/>
    </row>
    <row r="369" spans="1:25" ht="38.25" customHeight="1">
      <c r="A369" s="212">
        <v>367</v>
      </c>
      <c r="B369" s="212" t="s">
        <v>25</v>
      </c>
      <c r="C369" s="212" t="s">
        <v>1607</v>
      </c>
      <c r="D369" s="213" t="s">
        <v>1608</v>
      </c>
      <c r="E369" s="212" t="s">
        <v>49</v>
      </c>
      <c r="F369" s="212" t="s">
        <v>514</v>
      </c>
      <c r="G369" s="212" t="s">
        <v>157</v>
      </c>
      <c r="H369" s="212" t="s">
        <v>570</v>
      </c>
      <c r="I369" s="212" t="s">
        <v>570</v>
      </c>
      <c r="J369" s="216">
        <v>46227</v>
      </c>
      <c r="K369" s="212">
        <v>2026</v>
      </c>
      <c r="L369" s="216">
        <v>46227</v>
      </c>
      <c r="M369" s="217">
        <v>0.39583333333333298</v>
      </c>
      <c r="N369" s="218" t="s">
        <v>1124</v>
      </c>
      <c r="O369" s="218" t="s">
        <v>1609</v>
      </c>
      <c r="P369" s="218" t="s">
        <v>34</v>
      </c>
      <c r="Q369" s="218" t="s">
        <v>1159</v>
      </c>
      <c r="R369" s="219">
        <v>0</v>
      </c>
      <c r="S369" s="218"/>
      <c r="T369" s="218"/>
      <c r="U369" s="220"/>
      <c r="V369" s="221"/>
      <c r="W369" s="222"/>
      <c r="X369" s="220"/>
      <c r="Y369" s="223"/>
    </row>
    <row r="370" spans="1:25" ht="38.25" customHeight="1">
      <c r="A370" s="212">
        <v>368</v>
      </c>
      <c r="B370" s="212" t="s">
        <v>25</v>
      </c>
      <c r="C370" s="212" t="s">
        <v>1949</v>
      </c>
      <c r="D370" s="213" t="s">
        <v>1950</v>
      </c>
      <c r="E370" s="212" t="s">
        <v>49</v>
      </c>
      <c r="F370" s="224" t="s">
        <v>358</v>
      </c>
      <c r="G370" s="212" t="s">
        <v>157</v>
      </c>
      <c r="H370" s="212" t="s">
        <v>644</v>
      </c>
      <c r="I370" s="212" t="s">
        <v>644</v>
      </c>
      <c r="J370" s="216">
        <v>46229</v>
      </c>
      <c r="K370" s="212">
        <v>2026</v>
      </c>
      <c r="L370" s="216">
        <v>46231</v>
      </c>
      <c r="M370" s="217">
        <v>0.91666666666666663</v>
      </c>
      <c r="N370" s="218" t="s">
        <v>564</v>
      </c>
      <c r="O370" s="218" t="s">
        <v>1493</v>
      </c>
      <c r="P370" s="218" t="s">
        <v>34</v>
      </c>
      <c r="Q370" s="218" t="s">
        <v>1951</v>
      </c>
      <c r="R370" s="219">
        <v>0</v>
      </c>
      <c r="S370" s="218"/>
      <c r="T370" s="218"/>
      <c r="U370" s="220"/>
      <c r="V370" s="221"/>
      <c r="W370" s="222"/>
      <c r="X370" s="220"/>
      <c r="Y370" s="223"/>
    </row>
    <row r="371" spans="1:25" ht="38.25" customHeight="1">
      <c r="A371" s="212">
        <v>369</v>
      </c>
      <c r="B371" s="212" t="s">
        <v>25</v>
      </c>
      <c r="C371" s="212" t="s">
        <v>1610</v>
      </c>
      <c r="D371" s="213" t="s">
        <v>1611</v>
      </c>
      <c r="E371" s="212" t="s">
        <v>28</v>
      </c>
      <c r="F371" s="212" t="s">
        <v>1265</v>
      </c>
      <c r="G371" s="212" t="s">
        <v>30</v>
      </c>
      <c r="H371" s="212" t="s">
        <v>1612</v>
      </c>
      <c r="I371" s="212" t="s">
        <v>1612</v>
      </c>
      <c r="J371" s="216">
        <v>46246</v>
      </c>
      <c r="K371" s="212">
        <v>2026</v>
      </c>
      <c r="L371" s="216">
        <v>46251</v>
      </c>
      <c r="M371" s="217">
        <v>0.25694444444444398</v>
      </c>
      <c r="N371" s="218" t="s">
        <v>1613</v>
      </c>
      <c r="O371" s="218" t="s">
        <v>1614</v>
      </c>
      <c r="P371" s="218" t="s">
        <v>144</v>
      </c>
      <c r="Q371" s="218" t="s">
        <v>1615</v>
      </c>
      <c r="R371" s="219">
        <v>3</v>
      </c>
      <c r="S371" s="218"/>
      <c r="T371" s="218"/>
      <c r="U371" s="220"/>
      <c r="V371" s="221"/>
      <c r="W371" s="222"/>
      <c r="X371" s="220"/>
      <c r="Y371" s="223"/>
    </row>
    <row r="372" spans="1:25" ht="38.25" customHeight="1">
      <c r="A372" s="212">
        <v>370</v>
      </c>
      <c r="B372" s="212" t="s">
        <v>25</v>
      </c>
      <c r="C372" s="212" t="s">
        <v>1616</v>
      </c>
      <c r="D372" s="213" t="s">
        <v>1617</v>
      </c>
      <c r="E372" s="226" t="s">
        <v>49</v>
      </c>
      <c r="F372" s="224" t="s">
        <v>358</v>
      </c>
      <c r="G372" s="212" t="s">
        <v>30</v>
      </c>
      <c r="H372" s="212" t="s">
        <v>1618</v>
      </c>
      <c r="I372" s="212" t="s">
        <v>57</v>
      </c>
      <c r="J372" s="216">
        <v>46254</v>
      </c>
      <c r="K372" s="212">
        <v>2026</v>
      </c>
      <c r="L372" s="216">
        <v>46260</v>
      </c>
      <c r="M372" s="217">
        <v>0.95833333333333304</v>
      </c>
      <c r="N372" s="218" t="s">
        <v>1537</v>
      </c>
      <c r="O372" s="218" t="s">
        <v>1619</v>
      </c>
      <c r="P372" s="218" t="s">
        <v>34</v>
      </c>
      <c r="Q372" s="218" t="s">
        <v>1620</v>
      </c>
      <c r="R372" s="219">
        <v>0</v>
      </c>
      <c r="S372" s="218"/>
      <c r="T372" s="218"/>
      <c r="U372" s="220"/>
      <c r="V372" s="221"/>
      <c r="W372" s="222"/>
      <c r="X372" s="220"/>
      <c r="Y372" s="223"/>
    </row>
    <row r="373" spans="1:25" ht="38.25" customHeight="1">
      <c r="A373" s="212">
        <v>371</v>
      </c>
      <c r="B373" s="224" t="s">
        <v>25</v>
      </c>
      <c r="C373" s="224" t="s">
        <v>1621</v>
      </c>
      <c r="D373" s="225" t="s">
        <v>500</v>
      </c>
      <c r="E373" s="226" t="s">
        <v>49</v>
      </c>
      <c r="F373" s="224" t="s">
        <v>358</v>
      </c>
      <c r="G373" s="224" t="s">
        <v>30</v>
      </c>
      <c r="H373" s="224" t="s">
        <v>1622</v>
      </c>
      <c r="I373" s="224" t="s">
        <v>112</v>
      </c>
      <c r="J373" s="228">
        <v>46257</v>
      </c>
      <c r="K373" s="224">
        <v>2026</v>
      </c>
      <c r="L373" s="228">
        <v>46262</v>
      </c>
      <c r="M373" s="229">
        <v>0.75</v>
      </c>
      <c r="N373" s="230" t="s">
        <v>1425</v>
      </c>
      <c r="O373" s="230" t="s">
        <v>1623</v>
      </c>
      <c r="P373" s="230" t="s">
        <v>34</v>
      </c>
      <c r="Q373" s="230" t="s">
        <v>1159</v>
      </c>
      <c r="R373" s="231">
        <v>0</v>
      </c>
      <c r="S373" s="230"/>
      <c r="T373" s="230"/>
      <c r="U373" s="232"/>
      <c r="V373" s="233"/>
      <c r="W373" s="234"/>
      <c r="X373" s="232"/>
      <c r="Y373" s="235"/>
    </row>
    <row r="374" spans="1:25" ht="15">
      <c r="A374" s="236"/>
      <c r="B374" s="236"/>
      <c r="C374" s="236"/>
      <c r="D374" s="237"/>
      <c r="E374" s="236"/>
      <c r="F374" s="236"/>
      <c r="G374" s="236"/>
      <c r="H374" s="236"/>
      <c r="I374" s="236"/>
      <c r="J374" s="238"/>
      <c r="K374" s="236"/>
      <c r="L374" s="238"/>
      <c r="M374" s="239"/>
      <c r="N374" s="240"/>
      <c r="O374" s="240"/>
      <c r="P374" s="240"/>
      <c r="Q374" s="240"/>
      <c r="R374" s="241"/>
      <c r="S374" s="242"/>
      <c r="T374" s="242"/>
      <c r="U374" s="243"/>
      <c r="V374" s="244"/>
      <c r="W374" s="245"/>
      <c r="X374" s="243"/>
      <c r="Y374" s="246"/>
    </row>
    <row r="375" spans="1:25" ht="15">
      <c r="B375" s="247" t="s">
        <v>1624</v>
      </c>
      <c r="C375" s="248"/>
      <c r="D375" s="249"/>
      <c r="N375" s="14" t="s">
        <v>1625</v>
      </c>
      <c r="O375" s="14"/>
      <c r="P375" s="14"/>
      <c r="Q375" s="14"/>
      <c r="R375" s="14"/>
    </row>
    <row r="376" spans="1:25" ht="18">
      <c r="A376" s="251"/>
      <c r="B376" s="252">
        <v>29</v>
      </c>
      <c r="C376" s="253" t="s">
        <v>1626</v>
      </c>
      <c r="E376" s="254"/>
      <c r="F376" s="254"/>
      <c r="N376" s="253">
        <v>2019</v>
      </c>
      <c r="O376" s="255">
        <f>R83+R84+R85+R86+R87+R88+R89+R90+R91+R92+R93+R94+R95+R96+R97+R98+R99+R100+R101+R102+R103+R104+R105+R106+R107+R108+R109+R110+R111+R112+R113+R114+R115+R116+R117+R118+R119+R120+R121+R122+R123</f>
        <v>58</v>
      </c>
      <c r="P376" s="256" t="s">
        <v>1627</v>
      </c>
      <c r="Q376" s="257" t="s">
        <v>1628</v>
      </c>
      <c r="R376" s="258">
        <f>R2+R3+R4+R5+R6+R7+R8+R9+R10+R11+R12+R13+R14+R15+R16+R17+R18+R19+R20+R21+R22+R23+R24+R25+R26+R27+R28+R29+R30+R31+R32+R33+R34+R35+R36+R37+R38+R39+R40+R41+R42+R43+R44+R45+R46+R47+R48+R49+R50+R51+R52+R53+R54+R55+R56+R57+R58+R59+R60+R61+R62+R63+R64+R65+R66+R67+R68+R69+R70+R71+R72+R73+R74+R75+R76+R77+R78+R79+R80+R81+R82+R83+R84+R85+R86+R87+R88+R89+R90+R91+R92+R93+R94+R95+R96+R97+R98+R99+R100+R101+R102+R103+R104+R105+R106+R107+R108+R109+R110+R111+R112+R113+R114+R115+R116+R117+R118+R119+R120+R121+R122+R123+R124+R125+R126+R127+R128+R129+R130+R131+R132+R133+R134+R135+R136+R137+R138+R139+R140+R141+R142+R143+R144+R145+R146+R147+R148+R149+R150+R151+R152+R153+R154+R155+R156+R157+R158+R159+R160+R161+R162+R163+R164+R165+R166+R167+R168+R169+R170+R171+R172+R173+R174+R175+R176+R177+R178+R179+R180+R181+R182+R183+R184+R185+R186+R187+R188+R189+R190+R191+R192+R193+R194+R195+R196+R197+R198+R199+R200+R201+R202+R203+R204+R205+R206+R207+R208+R209+R210+R211+R212+R213+R214+R215+R216+R217+R218+R219+R220+R221+R222+R223+R224+R225+R226+R227+R228+R229+R230+R231+R232+R233+R234+R235+R236+R237+R238+R239+R240+R241+R242+R243+R244+R245+R246+R247+R248+R249+R250+R251+R252+R253+R254+R255+R256+R257+R258+R259+R260+R261+R262+R263+R264+R265+R266+R267+R268+R269+R270+R271+R272+R273+R274+R275+R276+R277+R278+R279+R280+R281+R282+R283+R284+R285+R286+R287+R288+R289+R290+R291+R292+R293+R294+R295+R296+R297+R298+R299+R300+R301+R302+R303+R304+R305+R306+R307+R308+R309+R310+R311+R312+R313+R314+R315+R316+R317+R318+R319+R320+R321+R322+R323+R324+R325+R326+R327+R328+R329+R330+R331+R332+R333+R334+R335+R336+R337+R338+R339+R340+R341+R342+R343+R344+R345+R346+R347+R348+R350+R351+R353+R354+R357+R359+R360+R363+R365+R368+R371-P379</f>
        <v>1020</v>
      </c>
    </row>
    <row r="377" spans="1:25">
      <c r="B377" s="253">
        <v>0</v>
      </c>
      <c r="C377" s="259" t="s">
        <v>1629</v>
      </c>
      <c r="E377" s="254"/>
      <c r="F377" s="254"/>
      <c r="N377" s="253">
        <v>2018</v>
      </c>
      <c r="O377" s="255">
        <f>R56+R57+R58+R59+R60+R61+R62+R63+R64+R65+R66+R67+R68+R69+R70+R71+R72+R73+R74+R75+R76+R77+R78+R79+R80+R81+R82</f>
        <v>93</v>
      </c>
      <c r="P377" s="256" t="s">
        <v>1630</v>
      </c>
      <c r="Q377" s="253">
        <v>2020</v>
      </c>
      <c r="R377" s="255">
        <f>R124+R125+R126+R127+R128+R129+R130+R131+R132+R133+R134+R135+R136+R137+R138+R139+R140+R141+R142+R143+R144+R145+R146+R147+R148+R149+R150</f>
        <v>21</v>
      </c>
    </row>
    <row r="378" spans="1:25" ht="15">
      <c r="B378" s="250" t="s">
        <v>1631</v>
      </c>
      <c r="C378" s="260">
        <f>B376/9</f>
        <v>3.2222222222222223</v>
      </c>
      <c r="F378" s="261"/>
      <c r="G378" s="253" t="s">
        <v>1632</v>
      </c>
      <c r="H378" s="253">
        <v>5</v>
      </c>
      <c r="I378" s="253" t="s">
        <v>1633</v>
      </c>
      <c r="J378" s="255">
        <v>8</v>
      </c>
      <c r="N378" s="253">
        <v>2017</v>
      </c>
      <c r="O378" s="253">
        <f>R38+R39+R40+R41+R42+R43+R44+R45+R46+R47+R48+R49+R50+R51+R52+R53+R54+R55</f>
        <v>87</v>
      </c>
      <c r="P378" s="262" t="s">
        <v>1634</v>
      </c>
      <c r="Q378" s="253">
        <v>2021</v>
      </c>
      <c r="R378" s="263">
        <f>R151+R152+R153+R154+R155+R156+R157+R158+R159+R160+R161+R162+R163+R164+R165+R166+R167+R168+R169+R170+R171+R172+R173+R174+R175+R176+R177+R178+R179+R180+R181+R182+R183+R184+R185+R186+R187+R188+R189+R190+R191</f>
        <v>117</v>
      </c>
    </row>
    <row r="379" spans="1:25" ht="15">
      <c r="B379" s="13"/>
      <c r="C379" s="13"/>
      <c r="F379" s="261"/>
      <c r="G379" s="253" t="s">
        <v>1635</v>
      </c>
      <c r="H379" s="253">
        <v>8</v>
      </c>
      <c r="I379" s="253" t="s">
        <v>1636</v>
      </c>
      <c r="J379" s="255">
        <v>8</v>
      </c>
      <c r="N379" s="253">
        <v>2016</v>
      </c>
      <c r="O379" s="253">
        <f>R15+R16+R17+R18+R19+R20+R21+R22+R23+R24+R25+R26+R27+R28+R29+R30+R31+R32+R33+R34+R35+R36+R37</f>
        <v>33</v>
      </c>
      <c r="P379" s="264">
        <v>24</v>
      </c>
      <c r="Q379" s="253">
        <v>2022</v>
      </c>
      <c r="R379" s="263">
        <f>R192+R193+R194+R195+R196+R197+R198+R199+R200+R201+R202+R203+R204+R205+R206+R207+R208+R209+R210+R211+R212+R213+R214</f>
        <v>113</v>
      </c>
    </row>
    <row r="380" spans="1:25">
      <c r="B380" s="254" t="s">
        <v>1637</v>
      </c>
      <c r="C380" t="s">
        <v>1638</v>
      </c>
      <c r="D380" s="265"/>
      <c r="F380" s="261"/>
      <c r="G380" s="253" t="s">
        <v>1639</v>
      </c>
      <c r="H380" s="253">
        <v>15</v>
      </c>
      <c r="I380" s="253" t="s">
        <v>1640</v>
      </c>
      <c r="J380" s="255">
        <v>8</v>
      </c>
      <c r="N380" s="253">
        <v>2015</v>
      </c>
      <c r="O380" s="253">
        <f>R8+R9+R10+R11+R12+R13+R14</f>
        <v>9</v>
      </c>
      <c r="P380" s="262" t="s">
        <v>1641</v>
      </c>
      <c r="Q380" s="253">
        <v>2023</v>
      </c>
      <c r="R380" s="263">
        <f>R215+R216+R217+R218+R219+R220+R221+R222+R223+R224+R225+R226+R227+R228+R229+R230+R231+R232+R233+R234+R235+R236+R237+R238+R239+R240+R241+R242+R243+R244+R245+R246+R247+R248+R249+R250+R251+R252+R253+R254</f>
        <v>163</v>
      </c>
    </row>
    <row r="381" spans="1:25" ht="15">
      <c r="B381" s="254" t="s">
        <v>1642</v>
      </c>
      <c r="C381" t="s">
        <v>1643</v>
      </c>
      <c r="F381" s="261"/>
      <c r="G381" s="254"/>
      <c r="H381" s="254">
        <f>H380+H379+H378</f>
        <v>28</v>
      </c>
      <c r="I381" s="254"/>
      <c r="J381" s="254">
        <f>J380+J379+J378</f>
        <v>24</v>
      </c>
      <c r="N381" s="253">
        <v>2014</v>
      </c>
      <c r="O381" s="266">
        <f>R2+R3+R4+R5+R6+R7</f>
        <v>2</v>
      </c>
      <c r="P381" s="267" t="s">
        <v>1644</v>
      </c>
      <c r="Q381" s="268">
        <v>2024</v>
      </c>
      <c r="R381" s="263">
        <f>R255+R256+R257+R258+R259+R260+R261+R262+R263+R264+R265+R266+R267+R268+R269+R270+R271+R272+R273+R274+R275+R276+R277+R278+R279+R280+R281+R282+R283+R284+R285+R286+R287+R288+R289+R290+R291+R292+R293+R294+R295+R296+R297+R298+R299</f>
        <v>111</v>
      </c>
    </row>
    <row r="382" spans="1:25" ht="15">
      <c r="C382" s="254"/>
      <c r="D382" s="269"/>
      <c r="P382" s="270">
        <f>O381+O380+O379+O378+O377+O376+R377+R378+R379+R380+R381+R382+R383-P379</f>
        <v>1020</v>
      </c>
      <c r="Q382" s="268">
        <v>2025</v>
      </c>
      <c r="R382" s="253">
        <f>R300+R301+R302+R303+R304+R305+R306+R307+R308+R309+R310+R311+R312+R313+R314+R315+R316+R317+R318+R319+R320+R321+R322+R323+R324+R325+R326+R327+R328+R329+R330+R331+R332+R333+R334+R335+R336+R337+R338+R339+R340+R341+R342+R344</f>
        <v>97</v>
      </c>
    </row>
    <row r="383" spans="1:25" ht="15">
      <c r="B383" s="257">
        <v>365</v>
      </c>
      <c r="C383" s="257" t="s">
        <v>25</v>
      </c>
      <c r="O383" s="242"/>
      <c r="P383" s="242"/>
      <c r="Q383" s="268">
        <v>2026</v>
      </c>
      <c r="R383" s="253">
        <f>R347+R348+R350+R351+R353+R354+R357+R359+R360+R363+R365+R368+R371</f>
        <v>140</v>
      </c>
    </row>
    <row r="384" spans="1:25">
      <c r="B384" s="253">
        <v>4</v>
      </c>
      <c r="C384" s="253" t="s">
        <v>311</v>
      </c>
      <c r="P384" s="271">
        <f>P382/12</f>
        <v>85</v>
      </c>
    </row>
    <row r="385" spans="2:17">
      <c r="B385" s="253">
        <v>1</v>
      </c>
      <c r="C385" s="253" t="s">
        <v>1645</v>
      </c>
      <c r="P385" s="254" t="s">
        <v>1646</v>
      </c>
    </row>
    <row r="386" spans="2:17" ht="15">
      <c r="B386" s="257">
        <f>B383+B384+B385</f>
        <v>370</v>
      </c>
      <c r="C386" s="257"/>
    </row>
    <row r="387" spans="2:17">
      <c r="D387" s="272"/>
      <c r="Q387" s="254"/>
    </row>
    <row r="391" spans="2:17">
      <c r="D391" s="273"/>
    </row>
  </sheetData>
  <mergeCells count="2">
    <mergeCell ref="N375:R375"/>
    <mergeCell ref="B379:C379"/>
  </mergeCells>
  <phoneticPr fontId="35" type="noConversion"/>
  <pageMargins left="0" right="0" top="0.39374999999999999" bottom="0.39374999999999999" header="0" footer="0"/>
  <pageSetup paperSize="9" scale="50" pageOrder="overThenDown" orientation="portrait" useFirstPageNumber="1" horizontalDpi="300" verticalDpi="300"/>
  <headerFooter>
    <oddHeader>&amp;C&amp;A</oddHeader>
    <oddFooter>&amp;CPágina &amp;P</oddFooter>
  </headerFooter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26"/>
  <sheetViews>
    <sheetView topLeftCell="A102" zoomScaleNormal="100" workbookViewId="0">
      <selection activeCell="B115" sqref="B115"/>
    </sheetView>
  </sheetViews>
  <sheetFormatPr defaultColWidth="8.625" defaultRowHeight="14.25"/>
  <cols>
    <col min="1" max="1" width="4.875" customWidth="1"/>
    <col min="2" max="2" width="3.25" customWidth="1"/>
    <col min="3" max="3" width="25.75" customWidth="1"/>
    <col min="4" max="4" width="6.125" customWidth="1"/>
    <col min="5" max="5" width="9.625" customWidth="1"/>
    <col min="6" max="6" width="3.75" customWidth="1"/>
    <col min="7" max="7" width="18.125" customWidth="1"/>
    <col min="8" max="8" width="5.375" customWidth="1"/>
    <col min="9" max="9" width="13.25" customWidth="1"/>
    <col min="10" max="10" width="5.25" customWidth="1"/>
    <col min="11" max="11" width="8.75" customWidth="1"/>
    <col min="12" max="12" width="3.375" customWidth="1"/>
    <col min="13" max="13" width="15.875" customWidth="1"/>
    <col min="14" max="14" width="6.75" customWidth="1"/>
    <col min="15" max="15" width="9.375" customWidth="1"/>
    <col min="16" max="16" width="3.5" customWidth="1"/>
    <col min="17" max="17" width="11.125" customWidth="1"/>
    <col min="18" max="18" width="30.25" customWidth="1"/>
    <col min="19" max="19" width="3.125" customWidth="1"/>
    <col min="20" max="20" width="3" customWidth="1"/>
    <col min="21" max="21" width="34.5" customWidth="1"/>
    <col min="22" max="22" width="9.625" customWidth="1"/>
    <col min="23" max="23" width="6.75" customWidth="1"/>
    <col min="24" max="25" width="6.375" customWidth="1"/>
    <col min="26" max="26" width="5.625" customWidth="1"/>
    <col min="27" max="27" width="5.5" customWidth="1"/>
    <col min="28" max="28" width="12.5" customWidth="1"/>
    <col min="29" max="30" width="7.75" customWidth="1"/>
    <col min="31" max="33" width="6" customWidth="1"/>
    <col min="34" max="34" width="6.75" customWidth="1"/>
    <col min="35" max="35" width="5.125" customWidth="1"/>
    <col min="36" max="36" width="4.875" customWidth="1"/>
    <col min="37" max="37" width="9" customWidth="1"/>
    <col min="40" max="40" width="9.875" customWidth="1"/>
  </cols>
  <sheetData>
    <row r="1" spans="1:18" ht="12.75" customHeight="1">
      <c r="A1" s="12">
        <v>2014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57" customHeight="1">
      <c r="A2" s="11" t="s">
        <v>1647</v>
      </c>
      <c r="B2" s="11"/>
      <c r="C2" s="11" t="s">
        <v>1648</v>
      </c>
      <c r="D2" s="11"/>
      <c r="E2" s="11" t="s">
        <v>1649</v>
      </c>
      <c r="F2" s="11"/>
      <c r="G2" s="11" t="s">
        <v>1650</v>
      </c>
      <c r="H2" s="11"/>
      <c r="I2" s="11" t="s">
        <v>13</v>
      </c>
      <c r="J2" s="11"/>
      <c r="K2" s="11" t="s">
        <v>1651</v>
      </c>
      <c r="L2" s="11"/>
      <c r="M2" s="11" t="s">
        <v>14</v>
      </c>
      <c r="N2" s="11"/>
      <c r="O2" s="11" t="s">
        <v>1652</v>
      </c>
      <c r="P2" s="11"/>
      <c r="Q2" s="274" t="s">
        <v>1653</v>
      </c>
      <c r="R2" s="274" t="s">
        <v>1654</v>
      </c>
    </row>
    <row r="3" spans="1:18" ht="45">
      <c r="A3" s="275" t="s">
        <v>1655</v>
      </c>
      <c r="B3" s="275">
        <v>3</v>
      </c>
      <c r="C3" s="88" t="s">
        <v>29</v>
      </c>
      <c r="D3" s="148">
        <v>5</v>
      </c>
      <c r="E3" s="275" t="s">
        <v>1656</v>
      </c>
      <c r="F3" s="275"/>
      <c r="G3" s="88" t="s">
        <v>51</v>
      </c>
      <c r="H3" s="148">
        <v>1</v>
      </c>
      <c r="I3" s="276" t="s">
        <v>58</v>
      </c>
      <c r="J3" s="275">
        <v>1</v>
      </c>
      <c r="K3" s="148" t="s">
        <v>34</v>
      </c>
      <c r="L3" s="148">
        <v>6</v>
      </c>
      <c r="M3" s="276" t="s">
        <v>65</v>
      </c>
      <c r="N3" s="275">
        <v>2</v>
      </c>
      <c r="O3" s="133" t="s">
        <v>66</v>
      </c>
      <c r="P3" s="148">
        <v>2</v>
      </c>
      <c r="Q3" s="148">
        <v>0</v>
      </c>
      <c r="R3" s="148">
        <f>SUM(Q3:Q6)</f>
        <v>2</v>
      </c>
    </row>
    <row r="4" spans="1:18" ht="30">
      <c r="A4" s="275" t="s">
        <v>1657</v>
      </c>
      <c r="B4" s="275">
        <v>3</v>
      </c>
      <c r="C4" s="88" t="s">
        <v>69</v>
      </c>
      <c r="D4" s="148">
        <v>1</v>
      </c>
      <c r="E4" s="275" t="s">
        <v>1658</v>
      </c>
      <c r="F4" s="275"/>
      <c r="G4" s="88" t="s">
        <v>63</v>
      </c>
      <c r="H4" s="148">
        <v>1</v>
      </c>
      <c r="I4" s="276" t="s">
        <v>52</v>
      </c>
      <c r="J4" s="275">
        <v>1</v>
      </c>
      <c r="K4" s="148" t="s">
        <v>1659</v>
      </c>
      <c r="L4" s="148">
        <v>0</v>
      </c>
      <c r="M4" s="276" t="s">
        <v>44</v>
      </c>
      <c r="N4" s="275">
        <v>1</v>
      </c>
      <c r="O4" s="133" t="s">
        <v>45</v>
      </c>
      <c r="P4" s="148">
        <v>2</v>
      </c>
      <c r="Q4" s="148">
        <v>0</v>
      </c>
      <c r="R4" s="277"/>
    </row>
    <row r="5" spans="1:18" ht="15">
      <c r="A5" s="278"/>
      <c r="B5" s="278"/>
      <c r="C5" s="278"/>
      <c r="D5" s="278"/>
      <c r="E5" s="275" t="s">
        <v>1660</v>
      </c>
      <c r="F5" s="275"/>
      <c r="G5" s="88" t="s">
        <v>31</v>
      </c>
      <c r="H5" s="148">
        <v>1</v>
      </c>
      <c r="I5" s="276" t="s">
        <v>64</v>
      </c>
      <c r="J5" s="275">
        <v>2</v>
      </c>
      <c r="K5" s="148" t="s">
        <v>1661</v>
      </c>
      <c r="L5" s="148">
        <v>0</v>
      </c>
      <c r="M5" s="276" t="s">
        <v>59</v>
      </c>
      <c r="N5" s="275">
        <v>1</v>
      </c>
      <c r="O5" s="133" t="s">
        <v>60</v>
      </c>
      <c r="P5" s="148">
        <v>1</v>
      </c>
      <c r="Q5" s="148">
        <v>2</v>
      </c>
      <c r="R5" s="277"/>
    </row>
    <row r="6" spans="1:18" ht="30">
      <c r="A6" s="278"/>
      <c r="B6" s="278"/>
      <c r="C6" s="278"/>
      <c r="D6" s="278"/>
      <c r="E6" s="275" t="s">
        <v>1662</v>
      </c>
      <c r="F6" s="275"/>
      <c r="G6" s="88" t="s">
        <v>57</v>
      </c>
      <c r="H6" s="148">
        <v>1</v>
      </c>
      <c r="I6" s="276" t="s">
        <v>43</v>
      </c>
      <c r="J6" s="275">
        <v>1</v>
      </c>
      <c r="K6" s="277"/>
      <c r="L6" s="277"/>
      <c r="M6" s="276" t="s">
        <v>33</v>
      </c>
      <c r="N6" s="275">
        <v>1</v>
      </c>
      <c r="O6" s="133" t="s">
        <v>35</v>
      </c>
      <c r="P6" s="148">
        <v>1</v>
      </c>
      <c r="Q6" s="148">
        <v>0</v>
      </c>
      <c r="R6" s="277"/>
    </row>
    <row r="7" spans="1:18" ht="15">
      <c r="A7" s="278"/>
      <c r="B7" s="278"/>
      <c r="C7" s="278"/>
      <c r="D7" s="278"/>
      <c r="E7" s="275" t="s">
        <v>1663</v>
      </c>
      <c r="F7" s="275"/>
      <c r="G7" s="88" t="s">
        <v>42</v>
      </c>
      <c r="H7" s="148">
        <v>1</v>
      </c>
      <c r="I7" s="276" t="s">
        <v>32</v>
      </c>
      <c r="J7" s="275">
        <v>1</v>
      </c>
      <c r="K7" s="277"/>
      <c r="L7" s="277"/>
      <c r="M7" s="276" t="s">
        <v>53</v>
      </c>
      <c r="N7" s="275">
        <v>1</v>
      </c>
      <c r="O7" s="278"/>
      <c r="P7" s="278"/>
      <c r="Q7" s="278"/>
      <c r="R7" s="278"/>
    </row>
    <row r="8" spans="1:18" ht="15">
      <c r="A8" s="278"/>
      <c r="B8" s="278"/>
      <c r="C8" s="278"/>
      <c r="D8" s="278"/>
      <c r="E8" s="275" t="s">
        <v>1664</v>
      </c>
      <c r="F8" s="275"/>
      <c r="G8" s="88" t="s">
        <v>71</v>
      </c>
      <c r="H8" s="148">
        <v>1</v>
      </c>
      <c r="I8" s="278"/>
      <c r="J8" s="278"/>
      <c r="K8" s="278"/>
      <c r="L8" s="278"/>
      <c r="M8" s="278"/>
      <c r="N8" s="278"/>
      <c r="O8" s="278"/>
      <c r="P8" s="278"/>
      <c r="Q8" s="278"/>
      <c r="R8" s="278"/>
    </row>
    <row r="9" spans="1:18">
      <c r="A9" s="278"/>
      <c r="B9" s="278"/>
      <c r="C9" s="278"/>
      <c r="D9" s="278"/>
      <c r="E9" s="275" t="s">
        <v>1665</v>
      </c>
      <c r="F9" s="275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</row>
    <row r="10" spans="1:18">
      <c r="A10" s="278"/>
      <c r="B10" s="278"/>
      <c r="C10" s="278"/>
      <c r="D10" s="278"/>
      <c r="E10" s="275" t="s">
        <v>1666</v>
      </c>
      <c r="F10" s="275">
        <v>1</v>
      </c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</row>
    <row r="11" spans="1:18">
      <c r="A11" s="278"/>
      <c r="B11" s="278"/>
      <c r="C11" s="278"/>
      <c r="D11" s="278"/>
      <c r="E11" s="275" t="s">
        <v>1667</v>
      </c>
      <c r="F11" s="275">
        <v>2</v>
      </c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</row>
    <row r="12" spans="1:18">
      <c r="A12" s="278"/>
      <c r="B12" s="278"/>
      <c r="C12" s="278"/>
      <c r="D12" s="278"/>
      <c r="E12" s="275" t="s">
        <v>1668</v>
      </c>
      <c r="F12" s="275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</row>
    <row r="13" spans="1:18">
      <c r="A13" s="278"/>
      <c r="B13" s="278"/>
      <c r="C13" s="278"/>
      <c r="D13" s="278"/>
      <c r="E13" s="275" t="s">
        <v>1669</v>
      </c>
      <c r="F13" s="275">
        <v>2</v>
      </c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</row>
    <row r="14" spans="1:18">
      <c r="A14" s="278"/>
      <c r="B14" s="278"/>
      <c r="C14" s="278"/>
      <c r="D14" s="278"/>
      <c r="E14" s="275" t="s">
        <v>1670</v>
      </c>
      <c r="F14" s="275">
        <v>1</v>
      </c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</row>
    <row r="15" spans="1:18" ht="15">
      <c r="A15" s="278"/>
      <c r="B15" s="278"/>
      <c r="C15" s="278"/>
      <c r="D15" s="278"/>
      <c r="E15" s="279" t="s">
        <v>1628</v>
      </c>
      <c r="F15" s="279">
        <f>SUM(F3:F14)</f>
        <v>6</v>
      </c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</row>
    <row r="16" spans="1:18" ht="12.75" customHeight="1">
      <c r="A16" s="12">
        <v>2015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28.5" customHeight="1">
      <c r="A17" s="11" t="s">
        <v>1647</v>
      </c>
      <c r="B17" s="11"/>
      <c r="C17" s="11" t="s">
        <v>1648</v>
      </c>
      <c r="D17" s="11"/>
      <c r="E17" s="11" t="s">
        <v>1649</v>
      </c>
      <c r="F17" s="11"/>
      <c r="G17" s="11" t="s">
        <v>1650</v>
      </c>
      <c r="H17" s="11"/>
      <c r="I17" s="11" t="s">
        <v>13</v>
      </c>
      <c r="J17" s="11"/>
      <c r="K17" s="11" t="s">
        <v>1651</v>
      </c>
      <c r="L17" s="11"/>
      <c r="M17" s="11" t="s">
        <v>14</v>
      </c>
      <c r="N17" s="11"/>
      <c r="O17" s="11" t="s">
        <v>1652</v>
      </c>
      <c r="P17" s="11"/>
      <c r="Q17" s="274" t="s">
        <v>1653</v>
      </c>
      <c r="R17" s="274" t="s">
        <v>1654</v>
      </c>
    </row>
    <row r="18" spans="1:18" ht="30">
      <c r="A18" s="275" t="s">
        <v>1655</v>
      </c>
      <c r="B18" s="275">
        <v>3</v>
      </c>
      <c r="C18" s="44" t="s">
        <v>81</v>
      </c>
      <c r="D18" s="148">
        <v>1</v>
      </c>
      <c r="E18" s="275" t="s">
        <v>1656</v>
      </c>
      <c r="F18" s="275"/>
      <c r="G18" s="44" t="s">
        <v>83</v>
      </c>
      <c r="H18" s="148">
        <v>1</v>
      </c>
      <c r="I18" s="276" t="s">
        <v>84</v>
      </c>
      <c r="J18" s="275">
        <v>1</v>
      </c>
      <c r="K18" s="148" t="s">
        <v>34</v>
      </c>
      <c r="L18" s="148">
        <v>7</v>
      </c>
      <c r="M18" s="276" t="s">
        <v>85</v>
      </c>
      <c r="N18" s="275">
        <v>1</v>
      </c>
      <c r="O18" s="92" t="s">
        <v>86</v>
      </c>
      <c r="P18" s="101">
        <v>1</v>
      </c>
      <c r="Q18" s="101">
        <v>4</v>
      </c>
      <c r="R18" s="148">
        <f>SUM(Q18:Q23)</f>
        <v>9</v>
      </c>
    </row>
    <row r="19" spans="1:18" ht="26.25" customHeight="1">
      <c r="A19" s="275" t="s">
        <v>1657</v>
      </c>
      <c r="B19" s="275">
        <v>4</v>
      </c>
      <c r="C19" s="44" t="s">
        <v>74</v>
      </c>
      <c r="D19" s="148">
        <v>5</v>
      </c>
      <c r="E19" s="275" t="s">
        <v>1658</v>
      </c>
      <c r="F19" s="275">
        <v>1</v>
      </c>
      <c r="G19" s="44" t="s">
        <v>51</v>
      </c>
      <c r="H19" s="148">
        <v>1</v>
      </c>
      <c r="I19" s="276" t="s">
        <v>32</v>
      </c>
      <c r="J19" s="275">
        <v>4</v>
      </c>
      <c r="K19" s="148" t="s">
        <v>1659</v>
      </c>
      <c r="L19" s="148">
        <v>0</v>
      </c>
      <c r="M19" s="276" t="s">
        <v>93</v>
      </c>
      <c r="N19" s="275">
        <v>1</v>
      </c>
      <c r="O19" s="92" t="s">
        <v>94</v>
      </c>
      <c r="P19" s="101">
        <v>1</v>
      </c>
      <c r="Q19" s="101">
        <v>1</v>
      </c>
      <c r="R19" s="277"/>
    </row>
    <row r="20" spans="1:18" ht="21.75" customHeight="1">
      <c r="A20" s="278"/>
      <c r="B20" s="278"/>
      <c r="C20" s="44" t="s">
        <v>116</v>
      </c>
      <c r="D20" s="148">
        <v>1</v>
      </c>
      <c r="E20" s="275" t="s">
        <v>1660</v>
      </c>
      <c r="F20" s="275"/>
      <c r="G20" s="44" t="s">
        <v>107</v>
      </c>
      <c r="H20" s="148">
        <v>1</v>
      </c>
      <c r="I20" s="276" t="s">
        <v>118</v>
      </c>
      <c r="J20" s="275">
        <v>1</v>
      </c>
      <c r="K20" s="148" t="s">
        <v>1661</v>
      </c>
      <c r="L20" s="148">
        <v>0</v>
      </c>
      <c r="M20" s="276" t="s">
        <v>108</v>
      </c>
      <c r="N20" s="275">
        <v>2</v>
      </c>
      <c r="O20" s="92" t="s">
        <v>35</v>
      </c>
      <c r="P20" s="101">
        <v>2</v>
      </c>
      <c r="Q20" s="101">
        <v>0</v>
      </c>
      <c r="R20" s="277"/>
    </row>
    <row r="21" spans="1:18" ht="15">
      <c r="A21" s="278"/>
      <c r="B21" s="278"/>
      <c r="C21" s="278"/>
      <c r="D21" s="278"/>
      <c r="E21" s="275" t="s">
        <v>1662</v>
      </c>
      <c r="F21" s="275"/>
      <c r="G21" s="44" t="s">
        <v>112</v>
      </c>
      <c r="H21" s="148">
        <v>1</v>
      </c>
      <c r="I21" s="280" t="s">
        <v>101</v>
      </c>
      <c r="J21" s="277">
        <v>1</v>
      </c>
      <c r="K21" s="277"/>
      <c r="L21" s="277"/>
      <c r="M21" s="276" t="s">
        <v>119</v>
      </c>
      <c r="N21" s="275">
        <v>1</v>
      </c>
      <c r="O21" s="92" t="s">
        <v>113</v>
      </c>
      <c r="P21" s="101">
        <v>1</v>
      </c>
      <c r="Q21" s="101">
        <v>0</v>
      </c>
      <c r="R21" s="277"/>
    </row>
    <row r="22" spans="1:18" ht="15">
      <c r="A22" s="278"/>
      <c r="B22" s="278"/>
      <c r="C22" s="278"/>
      <c r="D22" s="278"/>
      <c r="E22" s="275" t="s">
        <v>1663</v>
      </c>
      <c r="F22" s="275"/>
      <c r="G22" s="44" t="s">
        <v>117</v>
      </c>
      <c r="H22" s="148">
        <v>1</v>
      </c>
      <c r="I22" s="280"/>
      <c r="J22" s="277"/>
      <c r="K22" s="277"/>
      <c r="L22" s="277"/>
      <c r="M22" s="281" t="s">
        <v>78</v>
      </c>
      <c r="N22" s="277">
        <v>1</v>
      </c>
      <c r="O22" s="92" t="s">
        <v>120</v>
      </c>
      <c r="P22" s="101">
        <v>1</v>
      </c>
      <c r="Q22" s="101">
        <v>3</v>
      </c>
      <c r="R22" s="278"/>
    </row>
    <row r="23" spans="1:18" ht="15">
      <c r="A23" s="278"/>
      <c r="B23" s="278"/>
      <c r="C23" s="278"/>
      <c r="D23" s="278"/>
      <c r="E23" s="275" t="s">
        <v>1664</v>
      </c>
      <c r="F23" s="275">
        <v>2</v>
      </c>
      <c r="G23" s="44" t="s">
        <v>76</v>
      </c>
      <c r="H23" s="277">
        <v>1</v>
      </c>
      <c r="I23" s="278"/>
      <c r="J23" s="278"/>
      <c r="K23" s="278"/>
      <c r="L23" s="278"/>
      <c r="M23" s="278" t="s">
        <v>1671</v>
      </c>
      <c r="N23" s="278">
        <v>1</v>
      </c>
      <c r="O23" s="278" t="s">
        <v>104</v>
      </c>
      <c r="P23" s="278">
        <v>1</v>
      </c>
      <c r="Q23" s="278">
        <v>1</v>
      </c>
      <c r="R23" s="278"/>
    </row>
    <row r="24" spans="1:18">
      <c r="A24" s="278"/>
      <c r="B24" s="278"/>
      <c r="C24" s="278"/>
      <c r="D24" s="278"/>
      <c r="E24" s="275" t="s">
        <v>1665</v>
      </c>
      <c r="F24" s="275"/>
      <c r="G24" s="278" t="s">
        <v>100</v>
      </c>
      <c r="H24" s="278">
        <v>1</v>
      </c>
      <c r="I24" s="278"/>
      <c r="J24" s="278"/>
      <c r="K24" s="278"/>
      <c r="L24" s="278"/>
      <c r="M24" s="278"/>
      <c r="N24" s="278"/>
      <c r="O24" s="278"/>
      <c r="P24" s="278"/>
      <c r="Q24" s="278"/>
      <c r="R24" s="278"/>
    </row>
    <row r="25" spans="1:18">
      <c r="A25" s="278"/>
      <c r="B25" s="278"/>
      <c r="C25" s="278"/>
      <c r="D25" s="278"/>
      <c r="E25" s="275" t="s">
        <v>1666</v>
      </c>
      <c r="F25" s="275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</row>
    <row r="26" spans="1:18">
      <c r="A26" s="278"/>
      <c r="B26" s="278"/>
      <c r="C26" s="278"/>
      <c r="D26" s="278"/>
      <c r="E26" s="275" t="s">
        <v>1667</v>
      </c>
      <c r="F26" s="275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</row>
    <row r="27" spans="1:18">
      <c r="A27" s="278"/>
      <c r="B27" s="278"/>
      <c r="C27" s="278"/>
      <c r="D27" s="278"/>
      <c r="E27" s="275" t="s">
        <v>1668</v>
      </c>
      <c r="F27" s="275">
        <v>3</v>
      </c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</row>
    <row r="28" spans="1:18">
      <c r="A28" s="278"/>
      <c r="B28" s="278"/>
      <c r="C28" s="278"/>
      <c r="D28" s="278"/>
      <c r="E28" s="275" t="s">
        <v>1669</v>
      </c>
      <c r="F28" s="275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</row>
    <row r="29" spans="1:18">
      <c r="A29" s="278"/>
      <c r="B29" s="278"/>
      <c r="C29" s="278"/>
      <c r="D29" s="278"/>
      <c r="E29" s="275" t="s">
        <v>1670</v>
      </c>
      <c r="F29" s="275">
        <v>1</v>
      </c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</row>
    <row r="30" spans="1:18" ht="15">
      <c r="A30" s="248"/>
      <c r="B30" s="248"/>
      <c r="C30" s="248"/>
      <c r="D30" s="248"/>
      <c r="E30" s="279" t="s">
        <v>1628</v>
      </c>
      <c r="F30" s="279">
        <f>SUM(F18:F29)</f>
        <v>7</v>
      </c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</row>
    <row r="31" spans="1:18" ht="16.5" customHeight="1">
      <c r="A31" s="12">
        <v>2016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28.5" customHeight="1">
      <c r="A32" s="11" t="s">
        <v>1647</v>
      </c>
      <c r="B32" s="11"/>
      <c r="C32" s="11" t="s">
        <v>1648</v>
      </c>
      <c r="D32" s="11"/>
      <c r="E32" s="11" t="s">
        <v>1649</v>
      </c>
      <c r="F32" s="11"/>
      <c r="G32" s="11" t="s">
        <v>1650</v>
      </c>
      <c r="H32" s="11"/>
      <c r="I32" s="11" t="s">
        <v>13</v>
      </c>
      <c r="J32" s="11"/>
      <c r="K32" s="11" t="s">
        <v>1651</v>
      </c>
      <c r="L32" s="11"/>
      <c r="M32" s="11" t="s">
        <v>14</v>
      </c>
      <c r="N32" s="11"/>
      <c r="O32" s="11" t="s">
        <v>1652</v>
      </c>
      <c r="P32" s="11"/>
      <c r="Q32" s="274" t="s">
        <v>1653</v>
      </c>
      <c r="R32" s="274" t="s">
        <v>1654</v>
      </c>
    </row>
    <row r="33" spans="1:18" ht="30">
      <c r="A33" s="275" t="s">
        <v>1655</v>
      </c>
      <c r="B33" s="275">
        <v>6</v>
      </c>
      <c r="C33" s="44" t="s">
        <v>170</v>
      </c>
      <c r="D33" s="148">
        <v>1</v>
      </c>
      <c r="E33" s="275" t="s">
        <v>1656</v>
      </c>
      <c r="F33" s="275">
        <v>1</v>
      </c>
      <c r="G33" s="44" t="s">
        <v>51</v>
      </c>
      <c r="H33" s="148">
        <v>7</v>
      </c>
      <c r="I33" s="37" t="s">
        <v>58</v>
      </c>
      <c r="J33" s="275">
        <v>2</v>
      </c>
      <c r="K33" s="148" t="s">
        <v>34</v>
      </c>
      <c r="L33" s="148">
        <v>20</v>
      </c>
      <c r="M33" s="37" t="s">
        <v>198</v>
      </c>
      <c r="N33" s="275">
        <v>1</v>
      </c>
      <c r="O33" s="92" t="s">
        <v>104</v>
      </c>
      <c r="P33" s="101">
        <v>1</v>
      </c>
      <c r="Q33" s="101">
        <v>3</v>
      </c>
      <c r="R33" s="148">
        <f>SUM(Q33:Q45)</f>
        <v>33</v>
      </c>
    </row>
    <row r="34" spans="1:18" ht="45">
      <c r="A34" s="275" t="s">
        <v>1657</v>
      </c>
      <c r="B34" s="275">
        <v>17</v>
      </c>
      <c r="C34" s="44" t="s">
        <v>140</v>
      </c>
      <c r="D34" s="148">
        <v>2</v>
      </c>
      <c r="E34" s="275" t="s">
        <v>1658</v>
      </c>
      <c r="F34" s="275">
        <v>1</v>
      </c>
      <c r="G34" s="44" t="s">
        <v>208</v>
      </c>
      <c r="H34" s="148">
        <v>1</v>
      </c>
      <c r="I34" s="37" t="s">
        <v>197</v>
      </c>
      <c r="J34" s="275">
        <v>1</v>
      </c>
      <c r="K34" s="148" t="s">
        <v>1659</v>
      </c>
      <c r="L34" s="148">
        <v>3</v>
      </c>
      <c r="M34" s="276" t="s">
        <v>186</v>
      </c>
      <c r="N34" s="275">
        <v>2</v>
      </c>
      <c r="O34" s="92" t="s">
        <v>127</v>
      </c>
      <c r="P34" s="101">
        <v>1</v>
      </c>
      <c r="Q34" s="101">
        <v>2</v>
      </c>
      <c r="R34" s="277"/>
    </row>
    <row r="35" spans="1:18" ht="15">
      <c r="A35" s="278"/>
      <c r="B35" s="278"/>
      <c r="C35" s="44" t="s">
        <v>148</v>
      </c>
      <c r="D35" s="148">
        <v>2</v>
      </c>
      <c r="E35" s="275" t="s">
        <v>1660</v>
      </c>
      <c r="F35" s="275">
        <v>2</v>
      </c>
      <c r="G35" s="44" t="s">
        <v>107</v>
      </c>
      <c r="H35" s="148">
        <v>1</v>
      </c>
      <c r="I35" s="37" t="s">
        <v>64</v>
      </c>
      <c r="J35" s="275">
        <v>9</v>
      </c>
      <c r="K35" s="148" t="s">
        <v>1661</v>
      </c>
      <c r="L35" s="148">
        <v>0</v>
      </c>
      <c r="M35" s="37" t="s">
        <v>143</v>
      </c>
      <c r="N35" s="275">
        <v>1</v>
      </c>
      <c r="O35" s="92" t="s">
        <v>145</v>
      </c>
      <c r="P35" s="101">
        <v>1</v>
      </c>
      <c r="Q35" s="101">
        <v>15</v>
      </c>
      <c r="R35" s="277"/>
    </row>
    <row r="36" spans="1:18" ht="60">
      <c r="A36" s="278"/>
      <c r="B36" s="278"/>
      <c r="C36" s="88" t="s">
        <v>81</v>
      </c>
      <c r="D36" s="148">
        <v>1</v>
      </c>
      <c r="E36" s="275" t="s">
        <v>1662</v>
      </c>
      <c r="F36" s="275">
        <v>1</v>
      </c>
      <c r="G36" s="88" t="s">
        <v>76</v>
      </c>
      <c r="H36" s="148">
        <v>3</v>
      </c>
      <c r="I36" s="37" t="s">
        <v>188</v>
      </c>
      <c r="J36" s="275">
        <v>1</v>
      </c>
      <c r="K36" s="277"/>
      <c r="L36" s="277"/>
      <c r="M36" s="37" t="s">
        <v>182</v>
      </c>
      <c r="N36" s="275">
        <v>1</v>
      </c>
      <c r="O36" s="92" t="s">
        <v>173</v>
      </c>
      <c r="P36" s="101">
        <v>2</v>
      </c>
      <c r="Q36" s="101">
        <v>4</v>
      </c>
      <c r="R36" s="277"/>
    </row>
    <row r="37" spans="1:18" ht="30">
      <c r="A37" s="278"/>
      <c r="B37" s="278"/>
      <c r="C37" s="44" t="s">
        <v>156</v>
      </c>
      <c r="D37" s="148">
        <v>1</v>
      </c>
      <c r="E37" s="275" t="s">
        <v>1663</v>
      </c>
      <c r="F37" s="275">
        <v>0</v>
      </c>
      <c r="G37" s="44" t="s">
        <v>112</v>
      </c>
      <c r="H37" s="148">
        <v>1</v>
      </c>
      <c r="I37" s="37" t="s">
        <v>181</v>
      </c>
      <c r="J37" s="275">
        <v>1</v>
      </c>
      <c r="K37" s="277"/>
      <c r="L37" s="277"/>
      <c r="M37" s="37" t="s">
        <v>189</v>
      </c>
      <c r="N37" s="275">
        <v>1</v>
      </c>
      <c r="O37" s="92" t="s">
        <v>190</v>
      </c>
      <c r="P37" s="101">
        <v>1</v>
      </c>
      <c r="Q37" s="101">
        <v>2</v>
      </c>
      <c r="R37" s="278"/>
    </row>
    <row r="38" spans="1:18" ht="15">
      <c r="A38" s="278"/>
      <c r="B38" s="278"/>
      <c r="C38" s="44" t="s">
        <v>167</v>
      </c>
      <c r="D38" s="148">
        <v>1</v>
      </c>
      <c r="E38" s="275" t="s">
        <v>1664</v>
      </c>
      <c r="F38" s="275">
        <v>2</v>
      </c>
      <c r="G38" s="44" t="s">
        <v>63</v>
      </c>
      <c r="H38" s="148">
        <v>1</v>
      </c>
      <c r="I38" s="37" t="s">
        <v>125</v>
      </c>
      <c r="J38" s="275">
        <v>2</v>
      </c>
      <c r="K38" s="278"/>
      <c r="L38" s="278"/>
      <c r="M38" s="37" t="s">
        <v>126</v>
      </c>
      <c r="N38" s="275">
        <v>1</v>
      </c>
      <c r="O38" s="92" t="s">
        <v>199</v>
      </c>
      <c r="P38" s="148">
        <v>1</v>
      </c>
      <c r="Q38" s="148">
        <v>0</v>
      </c>
      <c r="R38" s="278"/>
    </row>
    <row r="39" spans="1:18" ht="45">
      <c r="A39" s="278"/>
      <c r="B39" s="278"/>
      <c r="C39" s="44" t="s">
        <v>185</v>
      </c>
      <c r="D39" s="148">
        <v>1</v>
      </c>
      <c r="E39" s="275" t="s">
        <v>1665</v>
      </c>
      <c r="F39" s="275">
        <v>3</v>
      </c>
      <c r="G39" s="44" t="s">
        <v>220</v>
      </c>
      <c r="H39" s="148">
        <v>1</v>
      </c>
      <c r="I39" s="37" t="s">
        <v>32</v>
      </c>
      <c r="J39" s="275">
        <v>3</v>
      </c>
      <c r="K39" s="278"/>
      <c r="L39" s="278"/>
      <c r="M39" s="37" t="s">
        <v>194</v>
      </c>
      <c r="N39" s="275">
        <v>1</v>
      </c>
      <c r="O39" s="92" t="s">
        <v>130</v>
      </c>
      <c r="P39" s="148">
        <v>1</v>
      </c>
      <c r="Q39" s="148">
        <v>0</v>
      </c>
      <c r="R39" s="278"/>
    </row>
    <row r="40" spans="1:18" ht="30">
      <c r="A40" s="278"/>
      <c r="B40" s="278"/>
      <c r="C40" s="44" t="s">
        <v>74</v>
      </c>
      <c r="D40" s="148">
        <v>10</v>
      </c>
      <c r="E40" s="275" t="s">
        <v>1666</v>
      </c>
      <c r="F40" s="275">
        <v>2</v>
      </c>
      <c r="G40" s="44" t="s">
        <v>135</v>
      </c>
      <c r="H40" s="148">
        <v>2</v>
      </c>
      <c r="I40" s="37" t="s">
        <v>176</v>
      </c>
      <c r="J40" s="275">
        <v>1</v>
      </c>
      <c r="K40" s="278"/>
      <c r="L40" s="278"/>
      <c r="M40" s="37" t="s">
        <v>216</v>
      </c>
      <c r="N40" s="275">
        <v>1</v>
      </c>
      <c r="O40" s="92" t="s">
        <v>113</v>
      </c>
      <c r="P40" s="148">
        <v>10</v>
      </c>
      <c r="Q40" s="148">
        <v>7</v>
      </c>
      <c r="R40" s="278"/>
    </row>
    <row r="41" spans="1:18" ht="15">
      <c r="A41" s="278"/>
      <c r="B41" s="278"/>
      <c r="C41" s="44" t="s">
        <v>160</v>
      </c>
      <c r="D41" s="148">
        <v>1</v>
      </c>
      <c r="E41" s="275" t="s">
        <v>1667</v>
      </c>
      <c r="F41" s="275">
        <v>2</v>
      </c>
      <c r="G41" s="44" t="s">
        <v>171</v>
      </c>
      <c r="H41" s="148">
        <v>1</v>
      </c>
      <c r="I41" s="37" t="s">
        <v>221</v>
      </c>
      <c r="J41" s="275">
        <v>3</v>
      </c>
      <c r="K41" s="278"/>
      <c r="L41" s="278"/>
      <c r="M41" s="37" t="s">
        <v>222</v>
      </c>
      <c r="N41" s="275">
        <v>1</v>
      </c>
      <c r="O41" s="92" t="s">
        <v>35</v>
      </c>
      <c r="P41" s="148">
        <v>5</v>
      </c>
      <c r="Q41" s="148">
        <v>0</v>
      </c>
      <c r="R41" s="278"/>
    </row>
    <row r="42" spans="1:18" ht="15">
      <c r="A42" s="278"/>
      <c r="B42" s="278"/>
      <c r="C42" s="278"/>
      <c r="D42" s="278"/>
      <c r="E42" s="275" t="s">
        <v>1668</v>
      </c>
      <c r="F42" s="275">
        <v>5</v>
      </c>
      <c r="G42" s="44" t="s">
        <v>193</v>
      </c>
      <c r="H42" s="148">
        <v>1</v>
      </c>
      <c r="I42" s="278"/>
      <c r="J42" s="278"/>
      <c r="K42" s="278"/>
      <c r="L42" s="278"/>
      <c r="M42" s="37" t="s">
        <v>172</v>
      </c>
      <c r="N42" s="275">
        <v>1</v>
      </c>
      <c r="O42" s="278"/>
      <c r="P42" s="278"/>
      <c r="Q42" s="278"/>
      <c r="R42" s="278"/>
    </row>
    <row r="43" spans="1:18" ht="15">
      <c r="A43" s="278"/>
      <c r="B43" s="278"/>
      <c r="C43" s="278"/>
      <c r="D43" s="278"/>
      <c r="E43" s="275" t="s">
        <v>1669</v>
      </c>
      <c r="F43" s="275">
        <v>2</v>
      </c>
      <c r="G43" s="44" t="s">
        <v>117</v>
      </c>
      <c r="H43" s="148">
        <v>2</v>
      </c>
      <c r="I43" s="278"/>
      <c r="J43" s="278"/>
      <c r="K43" s="278"/>
      <c r="L43" s="278"/>
      <c r="M43" s="37" t="s">
        <v>177</v>
      </c>
      <c r="N43" s="275">
        <v>1</v>
      </c>
      <c r="O43" s="278"/>
      <c r="P43" s="278"/>
      <c r="Q43" s="278"/>
      <c r="R43" s="278"/>
    </row>
    <row r="44" spans="1:18" ht="45">
      <c r="A44" s="278"/>
      <c r="B44" s="278"/>
      <c r="C44" s="278"/>
      <c r="D44" s="278"/>
      <c r="E44" s="275" t="s">
        <v>1670</v>
      </c>
      <c r="F44" s="275">
        <v>2</v>
      </c>
      <c r="G44" s="44" t="s">
        <v>141</v>
      </c>
      <c r="H44" s="148">
        <v>1</v>
      </c>
      <c r="I44" s="278"/>
      <c r="J44" s="278"/>
      <c r="K44" s="278"/>
      <c r="L44" s="278"/>
      <c r="M44" s="37" t="s">
        <v>202</v>
      </c>
      <c r="N44" s="275">
        <v>1</v>
      </c>
      <c r="O44" s="278"/>
      <c r="P44" s="278"/>
      <c r="Q44" s="278"/>
      <c r="R44" s="278"/>
    </row>
    <row r="45" spans="1:18" ht="15">
      <c r="A45" s="248"/>
      <c r="B45" s="248"/>
      <c r="C45" s="248"/>
      <c r="D45" s="248"/>
      <c r="E45" s="279" t="s">
        <v>1628</v>
      </c>
      <c r="F45" s="279">
        <f>SUM(F33:F44)</f>
        <v>23</v>
      </c>
      <c r="G45" s="44" t="s">
        <v>71</v>
      </c>
      <c r="H45" s="263">
        <v>1</v>
      </c>
      <c r="I45" s="248"/>
      <c r="J45" s="248"/>
      <c r="K45" s="248"/>
      <c r="L45" s="248"/>
      <c r="M45" s="37" t="s">
        <v>108</v>
      </c>
      <c r="N45" s="282">
        <v>10</v>
      </c>
      <c r="O45" s="248"/>
      <c r="P45" s="248"/>
      <c r="Q45" s="248"/>
      <c r="R45" s="248"/>
    </row>
    <row r="46" spans="1:18" ht="12.75" customHeight="1">
      <c r="A46" s="12">
        <v>2017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28.5" customHeight="1">
      <c r="A47" s="11" t="s">
        <v>1647</v>
      </c>
      <c r="B47" s="11"/>
      <c r="C47" s="11" t="s">
        <v>1648</v>
      </c>
      <c r="D47" s="11"/>
      <c r="E47" s="11" t="s">
        <v>1649</v>
      </c>
      <c r="F47" s="11"/>
      <c r="G47" s="11" t="s">
        <v>1650</v>
      </c>
      <c r="H47" s="11"/>
      <c r="I47" s="11" t="s">
        <v>13</v>
      </c>
      <c r="J47" s="11"/>
      <c r="K47" s="11" t="s">
        <v>1651</v>
      </c>
      <c r="L47" s="11"/>
      <c r="M47" s="11" t="s">
        <v>14</v>
      </c>
      <c r="N47" s="11"/>
      <c r="O47" s="11" t="s">
        <v>1652</v>
      </c>
      <c r="P47" s="11"/>
      <c r="Q47" s="274" t="s">
        <v>1653</v>
      </c>
      <c r="R47" s="274" t="s">
        <v>1654</v>
      </c>
    </row>
    <row r="48" spans="1:18" ht="30">
      <c r="A48" s="275" t="s">
        <v>1655</v>
      </c>
      <c r="B48" s="275">
        <v>6</v>
      </c>
      <c r="C48" s="44" t="s">
        <v>243</v>
      </c>
      <c r="D48" s="148">
        <v>1</v>
      </c>
      <c r="E48" s="275" t="s">
        <v>1656</v>
      </c>
      <c r="F48" s="275">
        <v>1</v>
      </c>
      <c r="G48" s="44" t="s">
        <v>1672</v>
      </c>
      <c r="H48" s="148">
        <v>1</v>
      </c>
      <c r="I48" s="37" t="s">
        <v>58</v>
      </c>
      <c r="J48" s="275">
        <v>1</v>
      </c>
      <c r="K48" s="148" t="s">
        <v>34</v>
      </c>
      <c r="L48" s="148">
        <v>16</v>
      </c>
      <c r="M48" s="37" t="s">
        <v>227</v>
      </c>
      <c r="N48" s="275">
        <v>1</v>
      </c>
      <c r="O48" s="92" t="s">
        <v>251</v>
      </c>
      <c r="P48" s="101">
        <v>1</v>
      </c>
      <c r="Q48" s="101">
        <v>15</v>
      </c>
      <c r="R48" s="148">
        <f>SUM(Q48:Q60)</f>
        <v>87</v>
      </c>
    </row>
    <row r="49" spans="1:18" ht="15">
      <c r="A49" s="275" t="s">
        <v>1657</v>
      </c>
      <c r="B49" s="275">
        <v>12</v>
      </c>
      <c r="C49" s="44" t="s">
        <v>230</v>
      </c>
      <c r="D49" s="148">
        <v>1</v>
      </c>
      <c r="E49" s="275" t="s">
        <v>1658</v>
      </c>
      <c r="F49" s="275">
        <v>0</v>
      </c>
      <c r="G49" s="44" t="s">
        <v>51</v>
      </c>
      <c r="H49" s="148">
        <v>3</v>
      </c>
      <c r="I49" s="37" t="s">
        <v>52</v>
      </c>
      <c r="J49" s="275">
        <v>1</v>
      </c>
      <c r="K49" s="148" t="s">
        <v>1659</v>
      </c>
      <c r="L49" s="148">
        <v>2</v>
      </c>
      <c r="M49" s="37" t="s">
        <v>240</v>
      </c>
      <c r="N49" s="275">
        <v>3</v>
      </c>
      <c r="O49" s="92" t="s">
        <v>271</v>
      </c>
      <c r="P49" s="101">
        <v>1</v>
      </c>
      <c r="Q49" s="101">
        <v>0</v>
      </c>
      <c r="R49" s="277"/>
    </row>
    <row r="50" spans="1:18" ht="15">
      <c r="A50" s="278"/>
      <c r="B50" s="278"/>
      <c r="C50" s="44" t="s">
        <v>1673</v>
      </c>
      <c r="D50" s="148">
        <v>2</v>
      </c>
      <c r="E50" s="275" t="s">
        <v>1660</v>
      </c>
      <c r="F50" s="275">
        <v>1</v>
      </c>
      <c r="G50" s="44" t="s">
        <v>208</v>
      </c>
      <c r="H50" s="148">
        <v>2</v>
      </c>
      <c r="I50" s="37" t="s">
        <v>101</v>
      </c>
      <c r="J50" s="275">
        <v>2</v>
      </c>
      <c r="K50" s="148" t="s">
        <v>1661</v>
      </c>
      <c r="L50" s="148">
        <v>0</v>
      </c>
      <c r="M50" s="37" t="s">
        <v>186</v>
      </c>
      <c r="N50" s="275">
        <v>1</v>
      </c>
      <c r="O50" s="92" t="s">
        <v>246</v>
      </c>
      <c r="P50" s="101">
        <v>1</v>
      </c>
      <c r="Q50" s="101">
        <v>2</v>
      </c>
      <c r="R50" s="277"/>
    </row>
    <row r="51" spans="1:18" ht="30">
      <c r="A51" s="278"/>
      <c r="B51" s="278"/>
      <c r="C51" s="44" t="s">
        <v>81</v>
      </c>
      <c r="D51" s="148">
        <v>1</v>
      </c>
      <c r="E51" s="275" t="s">
        <v>1662</v>
      </c>
      <c r="F51" s="275">
        <v>2</v>
      </c>
      <c r="G51" s="44" t="s">
        <v>644</v>
      </c>
      <c r="H51" s="148">
        <v>2</v>
      </c>
      <c r="I51" s="37" t="s">
        <v>64</v>
      </c>
      <c r="J51" s="275">
        <v>7</v>
      </c>
      <c r="K51" s="277"/>
      <c r="L51" s="277"/>
      <c r="M51" s="37" t="s">
        <v>266</v>
      </c>
      <c r="N51" s="275">
        <v>1</v>
      </c>
      <c r="O51" s="92" t="s">
        <v>237</v>
      </c>
      <c r="P51" s="101">
        <v>1</v>
      </c>
      <c r="Q51" s="101">
        <v>0</v>
      </c>
      <c r="R51" s="277"/>
    </row>
    <row r="52" spans="1:18" ht="15">
      <c r="A52" s="278"/>
      <c r="B52" s="278"/>
      <c r="C52" s="44" t="s">
        <v>156</v>
      </c>
      <c r="D52" s="148">
        <v>1</v>
      </c>
      <c r="E52" s="275" t="s">
        <v>1663</v>
      </c>
      <c r="F52" s="275">
        <v>1</v>
      </c>
      <c r="G52" s="44" t="s">
        <v>692</v>
      </c>
      <c r="H52" s="148">
        <v>2</v>
      </c>
      <c r="I52" s="37" t="s">
        <v>283</v>
      </c>
      <c r="J52" s="275">
        <v>1</v>
      </c>
      <c r="K52" s="277"/>
      <c r="L52" s="277"/>
      <c r="M52" s="37" t="s">
        <v>250</v>
      </c>
      <c r="N52" s="275">
        <v>2</v>
      </c>
      <c r="O52" s="92" t="s">
        <v>66</v>
      </c>
      <c r="P52" s="101">
        <v>1</v>
      </c>
      <c r="Q52" s="101">
        <v>6</v>
      </c>
      <c r="R52" s="278"/>
    </row>
    <row r="53" spans="1:18" ht="30">
      <c r="A53" s="278"/>
      <c r="B53" s="278"/>
      <c r="C53" s="44" t="s">
        <v>286</v>
      </c>
      <c r="D53" s="148">
        <v>1</v>
      </c>
      <c r="E53" s="275" t="s">
        <v>1664</v>
      </c>
      <c r="F53" s="275">
        <v>1</v>
      </c>
      <c r="G53" s="44" t="s">
        <v>257</v>
      </c>
      <c r="H53" s="148">
        <v>1</v>
      </c>
      <c r="I53" s="37" t="s">
        <v>32</v>
      </c>
      <c r="J53" s="275">
        <v>3</v>
      </c>
      <c r="K53" s="278"/>
      <c r="L53" s="278"/>
      <c r="M53" s="37" t="s">
        <v>236</v>
      </c>
      <c r="N53" s="275">
        <v>1</v>
      </c>
      <c r="O53" s="92" t="s">
        <v>267</v>
      </c>
      <c r="P53" s="148">
        <v>1</v>
      </c>
      <c r="Q53" s="148">
        <v>60</v>
      </c>
      <c r="R53" s="278"/>
    </row>
    <row r="54" spans="1:18" ht="30">
      <c r="A54" s="278"/>
      <c r="B54" s="278"/>
      <c r="C54" s="44" t="s">
        <v>167</v>
      </c>
      <c r="D54" s="148">
        <v>1</v>
      </c>
      <c r="E54" s="275" t="s">
        <v>1665</v>
      </c>
      <c r="F54" s="275">
        <v>1</v>
      </c>
      <c r="G54" s="44" t="s">
        <v>226</v>
      </c>
      <c r="H54" s="148">
        <v>1</v>
      </c>
      <c r="I54" s="37" t="s">
        <v>260</v>
      </c>
      <c r="J54" s="275">
        <v>1</v>
      </c>
      <c r="K54" s="278"/>
      <c r="L54" s="278"/>
      <c r="M54" s="37" t="s">
        <v>306</v>
      </c>
      <c r="N54" s="275">
        <v>1</v>
      </c>
      <c r="O54" s="92" t="s">
        <v>298</v>
      </c>
      <c r="P54" s="148">
        <v>1</v>
      </c>
      <c r="Q54" s="148">
        <v>3</v>
      </c>
      <c r="R54" s="278"/>
    </row>
    <row r="55" spans="1:18" ht="30">
      <c r="A55" s="278"/>
      <c r="B55" s="278"/>
      <c r="C55" s="44" t="s">
        <v>74</v>
      </c>
      <c r="D55" s="148">
        <v>8</v>
      </c>
      <c r="E55" s="275" t="s">
        <v>1666</v>
      </c>
      <c r="F55" s="275">
        <v>1</v>
      </c>
      <c r="G55" s="44" t="s">
        <v>171</v>
      </c>
      <c r="H55" s="148">
        <v>1</v>
      </c>
      <c r="I55" s="37" t="s">
        <v>221</v>
      </c>
      <c r="J55" s="275">
        <v>2</v>
      </c>
      <c r="K55" s="278"/>
      <c r="L55" s="278"/>
      <c r="M55" s="37" t="s">
        <v>232</v>
      </c>
      <c r="N55" s="275">
        <v>1</v>
      </c>
      <c r="O55" s="92" t="s">
        <v>261</v>
      </c>
      <c r="P55" s="148">
        <v>1</v>
      </c>
      <c r="Q55" s="148">
        <v>1</v>
      </c>
      <c r="R55" s="278"/>
    </row>
    <row r="56" spans="1:18" ht="15">
      <c r="A56" s="278"/>
      <c r="B56" s="278"/>
      <c r="C56" s="44" t="s">
        <v>256</v>
      </c>
      <c r="D56" s="148">
        <v>1</v>
      </c>
      <c r="E56" s="275" t="s">
        <v>1667</v>
      </c>
      <c r="F56" s="275">
        <v>3</v>
      </c>
      <c r="G56" s="44" t="s">
        <v>117</v>
      </c>
      <c r="H56" s="148">
        <v>3</v>
      </c>
      <c r="I56" s="37"/>
      <c r="J56" s="275"/>
      <c r="K56" s="278"/>
      <c r="L56" s="278"/>
      <c r="M56" s="37" t="s">
        <v>288</v>
      </c>
      <c r="N56" s="275">
        <v>1</v>
      </c>
      <c r="O56" s="92" t="s">
        <v>278</v>
      </c>
      <c r="P56" s="148">
        <v>1</v>
      </c>
      <c r="Q56" s="148">
        <v>0</v>
      </c>
      <c r="R56" s="278"/>
    </row>
    <row r="57" spans="1:18" ht="30">
      <c r="A57" s="278"/>
      <c r="B57" s="278"/>
      <c r="C57" s="44" t="s">
        <v>305</v>
      </c>
      <c r="D57" s="148">
        <v>1</v>
      </c>
      <c r="E57" s="275" t="s">
        <v>1668</v>
      </c>
      <c r="F57" s="275">
        <v>2</v>
      </c>
      <c r="G57" s="44" t="s">
        <v>83</v>
      </c>
      <c r="H57" s="148">
        <v>1</v>
      </c>
      <c r="I57" s="278"/>
      <c r="J57" s="278"/>
      <c r="K57" s="278"/>
      <c r="L57" s="278"/>
      <c r="M57" s="37" t="s">
        <v>270</v>
      </c>
      <c r="N57" s="275">
        <v>1</v>
      </c>
      <c r="O57" s="92" t="s">
        <v>113</v>
      </c>
      <c r="P57" s="148">
        <v>8</v>
      </c>
      <c r="Q57" s="148">
        <v>0</v>
      </c>
      <c r="R57" s="278"/>
    </row>
    <row r="58" spans="1:18" ht="15">
      <c r="A58" s="278"/>
      <c r="B58" s="278"/>
      <c r="C58" s="278"/>
      <c r="D58" s="278"/>
      <c r="E58" s="275" t="s">
        <v>1669</v>
      </c>
      <c r="F58" s="275">
        <v>1</v>
      </c>
      <c r="G58" s="44" t="s">
        <v>231</v>
      </c>
      <c r="H58" s="148">
        <v>1</v>
      </c>
      <c r="I58" s="278"/>
      <c r="J58" s="278"/>
      <c r="K58" s="278"/>
      <c r="L58" s="278"/>
      <c r="M58" s="37" t="s">
        <v>297</v>
      </c>
      <c r="N58" s="275">
        <v>1</v>
      </c>
      <c r="O58" s="92" t="s">
        <v>35</v>
      </c>
      <c r="P58" s="148">
        <v>1</v>
      </c>
      <c r="Q58" s="148">
        <v>0</v>
      </c>
      <c r="R58" s="278"/>
    </row>
    <row r="59" spans="1:18" ht="15">
      <c r="A59" s="278"/>
      <c r="B59" s="278"/>
      <c r="C59" s="278"/>
      <c r="D59" s="278"/>
      <c r="E59" s="275" t="s">
        <v>1670</v>
      </c>
      <c r="F59" s="275">
        <v>4</v>
      </c>
      <c r="G59" s="44"/>
      <c r="H59" s="148"/>
      <c r="I59" s="278"/>
      <c r="J59" s="278"/>
      <c r="K59" s="278"/>
      <c r="L59" s="278"/>
      <c r="M59" s="37" t="s">
        <v>258</v>
      </c>
      <c r="N59" s="275">
        <v>1</v>
      </c>
      <c r="O59" s="278"/>
      <c r="P59" s="278"/>
      <c r="Q59" s="278"/>
      <c r="R59" s="278"/>
    </row>
    <row r="60" spans="1:18" ht="15">
      <c r="A60" s="283"/>
      <c r="B60" s="283"/>
      <c r="C60" s="283"/>
      <c r="D60" s="283"/>
      <c r="E60" s="284" t="s">
        <v>1628</v>
      </c>
      <c r="F60" s="284">
        <f>SUM(F48:F59)</f>
        <v>18</v>
      </c>
      <c r="G60" s="285"/>
      <c r="H60" s="286"/>
      <c r="I60" s="283"/>
      <c r="J60" s="283"/>
      <c r="K60" s="283"/>
      <c r="L60" s="283"/>
      <c r="M60" s="287" t="s">
        <v>108</v>
      </c>
      <c r="N60" s="288">
        <v>1</v>
      </c>
      <c r="O60" s="283"/>
      <c r="P60" s="283"/>
      <c r="Q60" s="283"/>
      <c r="R60" s="283"/>
    </row>
    <row r="61" spans="1:18" ht="30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7" t="s">
        <v>301</v>
      </c>
      <c r="N61" s="289">
        <v>1</v>
      </c>
      <c r="O61" s="283"/>
      <c r="P61" s="283"/>
      <c r="Q61" s="283"/>
      <c r="R61" s="283"/>
    </row>
    <row r="62" spans="1:18" ht="15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37" t="s">
        <v>245</v>
      </c>
      <c r="N62" s="278">
        <v>1</v>
      </c>
      <c r="O62" s="248"/>
      <c r="P62" s="248"/>
      <c r="Q62" s="248"/>
      <c r="R62" s="248"/>
    </row>
    <row r="63" spans="1:18" ht="12" customHeight="1">
      <c r="A63" s="12">
        <v>2018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27" customHeight="1">
      <c r="A64" s="11" t="s">
        <v>1647</v>
      </c>
      <c r="B64" s="11"/>
      <c r="C64" s="11" t="s">
        <v>1648</v>
      </c>
      <c r="D64" s="11"/>
      <c r="E64" s="11" t="s">
        <v>1649</v>
      </c>
      <c r="F64" s="11"/>
      <c r="G64" s="11" t="s">
        <v>1650</v>
      </c>
      <c r="H64" s="11"/>
      <c r="I64" s="11" t="s">
        <v>13</v>
      </c>
      <c r="J64" s="11"/>
      <c r="K64" s="11" t="s">
        <v>1651</v>
      </c>
      <c r="L64" s="11"/>
      <c r="M64" s="11" t="s">
        <v>14</v>
      </c>
      <c r="N64" s="11"/>
      <c r="O64" s="11" t="s">
        <v>1652</v>
      </c>
      <c r="P64" s="11"/>
      <c r="Q64" s="274" t="s">
        <v>1653</v>
      </c>
      <c r="R64" s="274" t="s">
        <v>1654</v>
      </c>
    </row>
    <row r="65" spans="1:18" ht="15">
      <c r="A65" s="275" t="s">
        <v>1655</v>
      </c>
      <c r="B65" s="275">
        <v>5</v>
      </c>
      <c r="C65" s="44" t="s">
        <v>230</v>
      </c>
      <c r="D65" s="148">
        <v>2</v>
      </c>
      <c r="E65" s="275" t="s">
        <v>1656</v>
      </c>
      <c r="F65" s="275">
        <v>4</v>
      </c>
      <c r="G65" s="55" t="s">
        <v>287</v>
      </c>
      <c r="H65" s="148">
        <v>1</v>
      </c>
      <c r="I65" s="37" t="s">
        <v>325</v>
      </c>
      <c r="J65" s="275">
        <v>1</v>
      </c>
      <c r="K65" s="148" t="s">
        <v>34</v>
      </c>
      <c r="L65" s="148">
        <v>18</v>
      </c>
      <c r="M65" s="34" t="s">
        <v>391</v>
      </c>
      <c r="N65" s="275">
        <v>1</v>
      </c>
      <c r="O65" s="92" t="s">
        <v>360</v>
      </c>
      <c r="P65" s="101">
        <v>3</v>
      </c>
      <c r="Q65" s="101">
        <v>3</v>
      </c>
      <c r="R65" s="148">
        <f>SUM(Q65:Q78)</f>
        <v>23</v>
      </c>
    </row>
    <row r="66" spans="1:18" ht="15">
      <c r="A66" s="275" t="s">
        <v>1657</v>
      </c>
      <c r="B66" s="275">
        <v>14</v>
      </c>
      <c r="C66" s="44" t="s">
        <v>412</v>
      </c>
      <c r="D66" s="148">
        <v>1</v>
      </c>
      <c r="E66" s="275" t="s">
        <v>1658</v>
      </c>
      <c r="F66" s="275">
        <v>1</v>
      </c>
      <c r="G66" s="55" t="s">
        <v>51</v>
      </c>
      <c r="H66" s="148">
        <v>1</v>
      </c>
      <c r="I66" s="37" t="s">
        <v>64</v>
      </c>
      <c r="J66" s="275">
        <v>8</v>
      </c>
      <c r="K66" s="148" t="s">
        <v>1659</v>
      </c>
      <c r="L66" s="148">
        <v>1</v>
      </c>
      <c r="M66" s="37" t="s">
        <v>240</v>
      </c>
      <c r="N66" s="275">
        <v>1</v>
      </c>
      <c r="O66" s="92" t="s">
        <v>367</v>
      </c>
      <c r="P66" s="101">
        <v>1</v>
      </c>
      <c r="Q66" s="101">
        <v>1</v>
      </c>
      <c r="R66" s="277"/>
    </row>
    <row r="67" spans="1:18" ht="15">
      <c r="A67" s="278"/>
      <c r="B67" s="278"/>
      <c r="C67" s="88" t="s">
        <v>1674</v>
      </c>
      <c r="D67" s="148">
        <v>3</v>
      </c>
      <c r="E67" s="275" t="s">
        <v>1660</v>
      </c>
      <c r="F67" s="275">
        <v>1</v>
      </c>
      <c r="G67" s="55" t="s">
        <v>71</v>
      </c>
      <c r="H67" s="148">
        <v>1</v>
      </c>
      <c r="I67" s="34" t="s">
        <v>501</v>
      </c>
      <c r="J67" s="275">
        <v>1</v>
      </c>
      <c r="K67" s="148" t="s">
        <v>1661</v>
      </c>
      <c r="L67" s="148">
        <v>0</v>
      </c>
      <c r="M67" s="34" t="s">
        <v>186</v>
      </c>
      <c r="N67" s="275">
        <v>1</v>
      </c>
      <c r="O67" s="92" t="s">
        <v>104</v>
      </c>
      <c r="P67" s="101">
        <v>1</v>
      </c>
      <c r="Q67" s="101">
        <v>0</v>
      </c>
      <c r="R67" s="277"/>
    </row>
    <row r="68" spans="1:18" ht="15">
      <c r="A68" s="278"/>
      <c r="B68" s="278"/>
      <c r="C68" s="44" t="s">
        <v>394</v>
      </c>
      <c r="D68" s="148">
        <v>1</v>
      </c>
      <c r="E68" s="275" t="s">
        <v>1662</v>
      </c>
      <c r="F68" s="275">
        <v>3</v>
      </c>
      <c r="G68" s="55" t="s">
        <v>1675</v>
      </c>
      <c r="H68" s="148">
        <v>1</v>
      </c>
      <c r="I68" s="37" t="s">
        <v>125</v>
      </c>
      <c r="J68" s="275">
        <v>1</v>
      </c>
      <c r="K68" s="277"/>
      <c r="L68" s="277"/>
      <c r="M68" s="37" t="s">
        <v>250</v>
      </c>
      <c r="N68" s="275">
        <v>1</v>
      </c>
      <c r="O68" s="92" t="s">
        <v>317</v>
      </c>
      <c r="P68" s="101">
        <v>1</v>
      </c>
      <c r="Q68" s="101">
        <v>3</v>
      </c>
      <c r="R68" s="277"/>
    </row>
    <row r="69" spans="1:18" ht="15">
      <c r="A69" s="278"/>
      <c r="B69" s="278"/>
      <c r="C69" s="44" t="s">
        <v>151</v>
      </c>
      <c r="D69" s="148">
        <v>12</v>
      </c>
      <c r="E69" s="275" t="s">
        <v>1663</v>
      </c>
      <c r="F69" s="275">
        <v>2</v>
      </c>
      <c r="G69" s="55" t="s">
        <v>107</v>
      </c>
      <c r="H69" s="148">
        <v>1</v>
      </c>
      <c r="I69" s="34" t="s">
        <v>340</v>
      </c>
      <c r="J69" s="275">
        <v>1</v>
      </c>
      <c r="K69" s="277"/>
      <c r="L69" s="277"/>
      <c r="M69" s="34" t="s">
        <v>337</v>
      </c>
      <c r="N69" s="275">
        <v>1</v>
      </c>
      <c r="O69" s="92" t="s">
        <v>246</v>
      </c>
      <c r="P69" s="101">
        <v>2</v>
      </c>
      <c r="Q69" s="101">
        <v>0</v>
      </c>
      <c r="R69" s="278"/>
    </row>
    <row r="70" spans="1:18" ht="15">
      <c r="A70" s="278"/>
      <c r="B70" s="278"/>
      <c r="C70" s="44"/>
      <c r="D70" s="148"/>
      <c r="E70" s="275" t="s">
        <v>1664</v>
      </c>
      <c r="F70" s="275">
        <v>2</v>
      </c>
      <c r="G70" s="55" t="s">
        <v>112</v>
      </c>
      <c r="H70" s="148">
        <v>6</v>
      </c>
      <c r="I70" s="34" t="s">
        <v>354</v>
      </c>
      <c r="J70" s="275">
        <v>3</v>
      </c>
      <c r="K70" s="278"/>
      <c r="L70" s="278"/>
      <c r="M70" s="34" t="s">
        <v>341</v>
      </c>
      <c r="N70" s="275">
        <v>1</v>
      </c>
      <c r="O70" s="92" t="s">
        <v>66</v>
      </c>
      <c r="P70" s="148">
        <v>1</v>
      </c>
      <c r="Q70" s="148">
        <v>0</v>
      </c>
      <c r="R70" s="278"/>
    </row>
    <row r="71" spans="1:18" ht="60">
      <c r="A71" s="278"/>
      <c r="B71" s="278"/>
      <c r="C71" s="44"/>
      <c r="D71" s="148"/>
      <c r="E71" s="275" t="s">
        <v>1665</v>
      </c>
      <c r="F71" s="275">
        <v>3</v>
      </c>
      <c r="G71" s="55" t="s">
        <v>63</v>
      </c>
      <c r="H71" s="148">
        <v>1</v>
      </c>
      <c r="I71" s="34" t="s">
        <v>260</v>
      </c>
      <c r="J71" s="275">
        <v>4</v>
      </c>
      <c r="K71" s="278"/>
      <c r="L71" s="278"/>
      <c r="M71" s="34" t="s">
        <v>359</v>
      </c>
      <c r="N71" s="275">
        <v>4</v>
      </c>
      <c r="O71" s="133" t="s">
        <v>405</v>
      </c>
      <c r="P71" s="148">
        <v>1</v>
      </c>
      <c r="Q71" s="148">
        <v>14</v>
      </c>
      <c r="R71" s="278"/>
    </row>
    <row r="72" spans="1:18" ht="42.75" customHeight="1">
      <c r="A72" s="278"/>
      <c r="B72" s="278"/>
      <c r="C72" s="44"/>
      <c r="D72" s="148"/>
      <c r="E72" s="275" t="s">
        <v>1666</v>
      </c>
      <c r="F72" s="275">
        <v>1</v>
      </c>
      <c r="G72" s="55" t="s">
        <v>131</v>
      </c>
      <c r="H72" s="148">
        <v>1</v>
      </c>
      <c r="I72" s="290"/>
      <c r="J72" s="277"/>
      <c r="K72" s="278"/>
      <c r="L72" s="278"/>
      <c r="M72" s="34" t="s">
        <v>404</v>
      </c>
      <c r="N72" s="275">
        <v>1</v>
      </c>
      <c r="O72" s="92" t="s">
        <v>342</v>
      </c>
      <c r="P72" s="148">
        <v>1</v>
      </c>
      <c r="Q72" s="148">
        <v>0</v>
      </c>
      <c r="R72" s="278"/>
    </row>
    <row r="73" spans="1:18" ht="42" customHeight="1">
      <c r="A73" s="278"/>
      <c r="B73" s="278"/>
      <c r="C73" s="44"/>
      <c r="D73" s="148"/>
      <c r="E73" s="275" t="s">
        <v>1667</v>
      </c>
      <c r="F73" s="275">
        <v>2</v>
      </c>
      <c r="G73" s="55" t="s">
        <v>324</v>
      </c>
      <c r="H73" s="148">
        <v>2</v>
      </c>
      <c r="I73" s="281"/>
      <c r="J73" s="277"/>
      <c r="K73" s="278"/>
      <c r="L73" s="278"/>
      <c r="M73" s="34" t="s">
        <v>65</v>
      </c>
      <c r="N73" s="275">
        <v>1</v>
      </c>
      <c r="O73" s="92"/>
      <c r="P73" s="148"/>
      <c r="Q73" s="148"/>
      <c r="R73" s="278"/>
    </row>
    <row r="74" spans="1:18" ht="45">
      <c r="A74" s="278"/>
      <c r="B74" s="278"/>
      <c r="C74" s="278"/>
      <c r="D74" s="278"/>
      <c r="E74" s="275" t="s">
        <v>1668</v>
      </c>
      <c r="F74" s="275"/>
      <c r="G74" s="55" t="s">
        <v>395</v>
      </c>
      <c r="H74" s="148">
        <v>1</v>
      </c>
      <c r="I74" s="278"/>
      <c r="J74" s="278"/>
      <c r="K74" s="278"/>
      <c r="L74" s="278"/>
      <c r="M74" s="34" t="s">
        <v>413</v>
      </c>
      <c r="N74" s="275">
        <v>1</v>
      </c>
      <c r="O74" s="148" t="s">
        <v>113</v>
      </c>
      <c r="P74" s="148">
        <v>8</v>
      </c>
      <c r="Q74" s="148">
        <v>2</v>
      </c>
      <c r="R74" s="278"/>
    </row>
    <row r="75" spans="1:18" ht="30">
      <c r="A75" s="278"/>
      <c r="B75" s="278"/>
      <c r="C75" s="278"/>
      <c r="D75" s="278"/>
      <c r="E75" s="275" t="s">
        <v>1669</v>
      </c>
      <c r="F75" s="275"/>
      <c r="G75" s="55" t="s">
        <v>335</v>
      </c>
      <c r="H75" s="148">
        <v>1</v>
      </c>
      <c r="I75" s="278"/>
      <c r="J75" s="278"/>
      <c r="K75" s="278"/>
      <c r="L75" s="278"/>
      <c r="M75" s="37" t="s">
        <v>371</v>
      </c>
      <c r="N75" s="275">
        <v>2</v>
      </c>
      <c r="O75" s="148" t="s">
        <v>35</v>
      </c>
      <c r="P75" s="148">
        <v>2</v>
      </c>
      <c r="Q75" s="148">
        <v>0</v>
      </c>
      <c r="R75" s="278"/>
    </row>
    <row r="76" spans="1:18" ht="30" customHeight="1">
      <c r="A76" s="10"/>
      <c r="B76" s="10"/>
      <c r="C76" s="10"/>
      <c r="D76" s="10"/>
      <c r="E76" s="9" t="s">
        <v>1670</v>
      </c>
      <c r="F76" s="8"/>
      <c r="G76" s="7" t="s">
        <v>370</v>
      </c>
      <c r="H76" s="6">
        <v>1</v>
      </c>
      <c r="I76" s="10"/>
      <c r="J76" s="10"/>
      <c r="K76" s="10"/>
      <c r="L76" s="10"/>
      <c r="M76" s="34" t="s">
        <v>377</v>
      </c>
      <c r="N76" s="275">
        <v>1</v>
      </c>
      <c r="O76" s="278"/>
      <c r="P76" s="278"/>
      <c r="Q76" s="278"/>
      <c r="R76" s="278"/>
    </row>
    <row r="77" spans="1:18" ht="15">
      <c r="A77" s="10"/>
      <c r="B77" s="10"/>
      <c r="C77" s="10"/>
      <c r="D77" s="10"/>
      <c r="E77" s="9"/>
      <c r="F77" s="8"/>
      <c r="G77" s="7"/>
      <c r="H77" s="6"/>
      <c r="I77" s="10"/>
      <c r="J77" s="10"/>
      <c r="K77" s="10"/>
      <c r="L77" s="10"/>
      <c r="M77" s="34" t="s">
        <v>400</v>
      </c>
      <c r="N77" s="275">
        <v>1</v>
      </c>
      <c r="O77" s="278"/>
      <c r="P77" s="278"/>
      <c r="Q77" s="278"/>
      <c r="R77" s="278"/>
    </row>
    <row r="78" spans="1:18" ht="30">
      <c r="A78" s="248"/>
      <c r="B78" s="248"/>
      <c r="C78" s="248"/>
      <c r="D78" s="248"/>
      <c r="E78" s="279" t="s">
        <v>1628</v>
      </c>
      <c r="F78" s="279">
        <f>SUM(F65:F76)</f>
        <v>19</v>
      </c>
      <c r="G78" s="55" t="s">
        <v>387</v>
      </c>
      <c r="H78" s="263">
        <v>1</v>
      </c>
      <c r="I78" s="248"/>
      <c r="J78" s="248"/>
      <c r="K78" s="248"/>
      <c r="L78" s="248"/>
      <c r="M78" s="37" t="s">
        <v>108</v>
      </c>
      <c r="N78" s="282">
        <v>2</v>
      </c>
      <c r="O78" s="248"/>
      <c r="P78" s="248"/>
      <c r="Q78" s="248"/>
      <c r="R78" s="248"/>
    </row>
    <row r="79" spans="1:18" ht="12" customHeight="1">
      <c r="A79" s="12">
        <v>2019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18" ht="43.5" customHeight="1">
      <c r="A80" s="11" t="s">
        <v>1647</v>
      </c>
      <c r="B80" s="11"/>
      <c r="C80" s="11" t="s">
        <v>1648</v>
      </c>
      <c r="D80" s="11"/>
      <c r="E80" s="11" t="s">
        <v>1649</v>
      </c>
      <c r="F80" s="11"/>
      <c r="G80" s="11" t="s">
        <v>1650</v>
      </c>
      <c r="H80" s="11"/>
      <c r="I80" s="11" t="s">
        <v>13</v>
      </c>
      <c r="J80" s="11"/>
      <c r="K80" s="11" t="s">
        <v>1651</v>
      </c>
      <c r="L80" s="11"/>
      <c r="M80" s="11" t="s">
        <v>14</v>
      </c>
      <c r="N80" s="11"/>
      <c r="O80" s="11" t="s">
        <v>1652</v>
      </c>
      <c r="P80" s="11"/>
      <c r="Q80" s="274" t="s">
        <v>1653</v>
      </c>
      <c r="R80" s="274" t="s">
        <v>1654</v>
      </c>
    </row>
    <row r="81" spans="1:18" ht="60">
      <c r="A81" s="275" t="s">
        <v>1655</v>
      </c>
      <c r="B81" s="275">
        <v>5</v>
      </c>
      <c r="C81" s="88" t="s">
        <v>1676</v>
      </c>
      <c r="D81" s="148">
        <v>21</v>
      </c>
      <c r="E81" s="275" t="s">
        <v>1656</v>
      </c>
      <c r="F81" s="275">
        <v>2</v>
      </c>
      <c r="G81" s="291" t="s">
        <v>51</v>
      </c>
      <c r="H81" s="148">
        <v>3</v>
      </c>
      <c r="I81" s="276" t="s">
        <v>64</v>
      </c>
      <c r="J81" s="275">
        <v>12</v>
      </c>
      <c r="K81" s="148" t="s">
        <v>34</v>
      </c>
      <c r="L81" s="148">
        <v>37</v>
      </c>
      <c r="M81" s="34" t="s">
        <v>1677</v>
      </c>
      <c r="N81" s="275">
        <v>6</v>
      </c>
      <c r="O81" s="133" t="s">
        <v>35</v>
      </c>
      <c r="P81" s="134">
        <v>7</v>
      </c>
      <c r="Q81" s="134">
        <v>0</v>
      </c>
      <c r="R81" s="148">
        <f>Q81+Q82+Q83+Q84+Q85+Q86+Q87+Q88+Q89+Q90+Q91+Q92+Q93+Q94+Q95+Q96+Q97</f>
        <v>58</v>
      </c>
    </row>
    <row r="82" spans="1:18" ht="45">
      <c r="A82" s="275" t="s">
        <v>1657</v>
      </c>
      <c r="B82" s="275">
        <v>35</v>
      </c>
      <c r="C82" s="88" t="s">
        <v>1674</v>
      </c>
      <c r="D82" s="148">
        <v>8</v>
      </c>
      <c r="E82" s="275" t="s">
        <v>1658</v>
      </c>
      <c r="F82" s="275">
        <v>7</v>
      </c>
      <c r="G82" s="291" t="s">
        <v>63</v>
      </c>
      <c r="H82" s="148">
        <v>7</v>
      </c>
      <c r="I82" s="37" t="s">
        <v>354</v>
      </c>
      <c r="J82" s="275">
        <v>9</v>
      </c>
      <c r="K82" s="148" t="s">
        <v>1659</v>
      </c>
      <c r="L82" s="148">
        <v>3</v>
      </c>
      <c r="M82" s="37" t="s">
        <v>65</v>
      </c>
      <c r="N82" s="275">
        <v>8</v>
      </c>
      <c r="O82" s="92" t="s">
        <v>113</v>
      </c>
      <c r="P82" s="101">
        <v>14</v>
      </c>
      <c r="Q82" s="101">
        <v>6</v>
      </c>
      <c r="R82" s="277"/>
    </row>
    <row r="83" spans="1:18" ht="27.75" customHeight="1">
      <c r="A83" s="278"/>
      <c r="B83" s="278"/>
      <c r="C83" s="88" t="s">
        <v>1678</v>
      </c>
      <c r="D83" s="148">
        <v>3</v>
      </c>
      <c r="E83" s="275" t="s">
        <v>1660</v>
      </c>
      <c r="F83" s="275">
        <v>1</v>
      </c>
      <c r="G83" s="55" t="s">
        <v>403</v>
      </c>
      <c r="H83" s="148">
        <v>2</v>
      </c>
      <c r="I83" s="34" t="s">
        <v>437</v>
      </c>
      <c r="J83" s="275">
        <v>1</v>
      </c>
      <c r="K83" s="148" t="s">
        <v>1661</v>
      </c>
      <c r="L83" s="148"/>
      <c r="M83" s="292" t="s">
        <v>1679</v>
      </c>
      <c r="N83" s="275">
        <v>5</v>
      </c>
      <c r="O83" s="92" t="s">
        <v>489</v>
      </c>
      <c r="P83" s="101">
        <v>1</v>
      </c>
      <c r="Q83" s="101">
        <v>7</v>
      </c>
      <c r="R83" s="277"/>
    </row>
    <row r="84" spans="1:18" ht="15">
      <c r="A84" s="278"/>
      <c r="B84" s="278"/>
      <c r="C84" s="88" t="s">
        <v>1680</v>
      </c>
      <c r="D84" s="148">
        <v>1</v>
      </c>
      <c r="E84" s="275" t="s">
        <v>1662</v>
      </c>
      <c r="F84" s="275">
        <v>7</v>
      </c>
      <c r="G84" s="291" t="s">
        <v>76</v>
      </c>
      <c r="H84" s="148">
        <v>7</v>
      </c>
      <c r="I84" s="37" t="s">
        <v>260</v>
      </c>
      <c r="J84" s="275">
        <v>4</v>
      </c>
      <c r="K84" s="277"/>
      <c r="L84" s="277"/>
      <c r="M84" s="37" t="s">
        <v>53</v>
      </c>
      <c r="N84" s="275">
        <v>3</v>
      </c>
      <c r="O84" s="92" t="s">
        <v>461</v>
      </c>
      <c r="P84" s="101">
        <v>1</v>
      </c>
      <c r="Q84" s="101">
        <v>2</v>
      </c>
      <c r="R84" s="277"/>
    </row>
    <row r="85" spans="1:18" ht="15">
      <c r="A85" s="278"/>
      <c r="B85" s="278"/>
      <c r="C85" s="44" t="s">
        <v>81</v>
      </c>
      <c r="D85" s="148">
        <v>3</v>
      </c>
      <c r="E85" s="275" t="s">
        <v>1663</v>
      </c>
      <c r="F85" s="275">
        <v>0</v>
      </c>
      <c r="G85" s="55" t="s">
        <v>112</v>
      </c>
      <c r="H85" s="148">
        <v>2</v>
      </c>
      <c r="I85" s="34" t="s">
        <v>58</v>
      </c>
      <c r="J85" s="275">
        <v>2</v>
      </c>
      <c r="K85" s="277"/>
      <c r="L85" s="277"/>
      <c r="M85" s="34" t="s">
        <v>1681</v>
      </c>
      <c r="N85" s="275">
        <v>3</v>
      </c>
      <c r="O85" s="92" t="s">
        <v>465</v>
      </c>
      <c r="P85" s="101">
        <v>2</v>
      </c>
      <c r="Q85" s="101">
        <v>0</v>
      </c>
      <c r="R85" s="278"/>
    </row>
    <row r="86" spans="1:18" ht="30">
      <c r="A86" s="278"/>
      <c r="B86" s="278"/>
      <c r="C86" s="88" t="s">
        <v>1682</v>
      </c>
      <c r="D86" s="148">
        <v>1</v>
      </c>
      <c r="E86" s="275" t="s">
        <v>1664</v>
      </c>
      <c r="F86" s="275">
        <v>4</v>
      </c>
      <c r="G86" s="55" t="s">
        <v>1532</v>
      </c>
      <c r="H86" s="148">
        <v>1</v>
      </c>
      <c r="I86" s="34" t="s">
        <v>456</v>
      </c>
      <c r="J86" s="275">
        <v>1</v>
      </c>
      <c r="K86" s="278"/>
      <c r="L86" s="278"/>
      <c r="M86" s="34" t="s">
        <v>1683</v>
      </c>
      <c r="N86" s="275">
        <v>2</v>
      </c>
      <c r="O86" s="92" t="s">
        <v>452</v>
      </c>
      <c r="P86" s="148">
        <v>1</v>
      </c>
      <c r="Q86" s="148">
        <v>0</v>
      </c>
      <c r="R86" s="278"/>
    </row>
    <row r="87" spans="1:18" ht="28.5" customHeight="1">
      <c r="A87" s="278"/>
      <c r="B87" s="278"/>
      <c r="C87" s="88" t="s">
        <v>1684</v>
      </c>
      <c r="D87" s="148">
        <v>1</v>
      </c>
      <c r="E87" s="275" t="s">
        <v>1665</v>
      </c>
      <c r="F87" s="275">
        <v>2</v>
      </c>
      <c r="G87" s="55" t="s">
        <v>775</v>
      </c>
      <c r="H87" s="148">
        <v>3</v>
      </c>
      <c r="I87" s="34" t="s">
        <v>43</v>
      </c>
      <c r="J87" s="275">
        <v>1</v>
      </c>
      <c r="K87" s="278"/>
      <c r="L87" s="278"/>
      <c r="M87" s="292" t="s">
        <v>391</v>
      </c>
      <c r="N87" s="275">
        <v>1</v>
      </c>
      <c r="O87" s="133" t="s">
        <v>261</v>
      </c>
      <c r="P87" s="148">
        <v>1</v>
      </c>
      <c r="Q87" s="148">
        <v>7</v>
      </c>
      <c r="R87" s="278"/>
    </row>
    <row r="88" spans="1:18" ht="47.25" customHeight="1">
      <c r="A88" s="278"/>
      <c r="B88" s="278"/>
      <c r="C88" s="88" t="s">
        <v>1685</v>
      </c>
      <c r="D88" s="148">
        <v>1</v>
      </c>
      <c r="E88" s="275" t="s">
        <v>1666</v>
      </c>
      <c r="F88" s="275">
        <v>6</v>
      </c>
      <c r="G88" s="291" t="s">
        <v>222</v>
      </c>
      <c r="H88" s="148">
        <v>1</v>
      </c>
      <c r="I88" s="292" t="s">
        <v>221</v>
      </c>
      <c r="J88" s="275">
        <v>1</v>
      </c>
      <c r="K88" s="278"/>
      <c r="L88" s="278"/>
      <c r="M88" s="292" t="s">
        <v>1686</v>
      </c>
      <c r="N88" s="275">
        <v>1</v>
      </c>
      <c r="O88" s="92" t="s">
        <v>458</v>
      </c>
      <c r="P88" s="148">
        <v>1</v>
      </c>
      <c r="Q88" s="148">
        <v>10</v>
      </c>
      <c r="R88" s="278"/>
    </row>
    <row r="89" spans="1:18" ht="30">
      <c r="A89" s="278"/>
      <c r="B89" s="278"/>
      <c r="C89" s="88" t="s">
        <v>230</v>
      </c>
      <c r="D89" s="148">
        <v>1</v>
      </c>
      <c r="E89" s="275" t="s">
        <v>1667</v>
      </c>
      <c r="F89" s="275">
        <v>3</v>
      </c>
      <c r="G89" s="55" t="s">
        <v>1687</v>
      </c>
      <c r="H89" s="148">
        <v>1</v>
      </c>
      <c r="I89" s="37" t="s">
        <v>776</v>
      </c>
      <c r="J89" s="275">
        <v>1</v>
      </c>
      <c r="K89" s="278"/>
      <c r="L89" s="278"/>
      <c r="M89" s="34" t="s">
        <v>1688</v>
      </c>
      <c r="N89" s="275">
        <v>1</v>
      </c>
      <c r="O89" s="148" t="s">
        <v>66</v>
      </c>
      <c r="P89" s="148">
        <v>3</v>
      </c>
      <c r="Q89" s="148">
        <v>0</v>
      </c>
      <c r="R89" s="278"/>
    </row>
    <row r="90" spans="1:18" ht="30">
      <c r="A90" s="278"/>
      <c r="B90" s="278"/>
      <c r="C90" s="278"/>
      <c r="D90" s="278"/>
      <c r="E90" s="275" t="s">
        <v>1668</v>
      </c>
      <c r="F90" s="275">
        <v>2</v>
      </c>
      <c r="G90" s="55" t="s">
        <v>511</v>
      </c>
      <c r="H90" s="148">
        <v>3</v>
      </c>
      <c r="I90" s="275" t="s">
        <v>501</v>
      </c>
      <c r="J90" s="275">
        <v>5</v>
      </c>
      <c r="K90" s="278"/>
      <c r="L90" s="278"/>
      <c r="M90" s="34" t="s">
        <v>1689</v>
      </c>
      <c r="N90" s="275">
        <v>1</v>
      </c>
      <c r="O90" s="148" t="s">
        <v>482</v>
      </c>
      <c r="P90" s="148">
        <v>1</v>
      </c>
      <c r="Q90" s="148">
        <v>2</v>
      </c>
      <c r="R90" s="278"/>
    </row>
    <row r="91" spans="1:18" ht="15">
      <c r="A91" s="278"/>
      <c r="B91" s="278"/>
      <c r="C91" s="278"/>
      <c r="D91" s="278"/>
      <c r="E91" s="275" t="s">
        <v>1669</v>
      </c>
      <c r="F91" s="275">
        <v>5</v>
      </c>
      <c r="G91" s="291" t="s">
        <v>1690</v>
      </c>
      <c r="H91" s="148">
        <v>1</v>
      </c>
      <c r="I91" s="275" t="s">
        <v>528</v>
      </c>
      <c r="J91" s="275">
        <v>2</v>
      </c>
      <c r="K91" s="278"/>
      <c r="L91" s="278"/>
      <c r="M91" s="276" t="s">
        <v>1691</v>
      </c>
      <c r="N91" s="275">
        <v>1</v>
      </c>
      <c r="O91" s="148" t="s">
        <v>470</v>
      </c>
      <c r="P91" s="148">
        <v>1</v>
      </c>
      <c r="Q91" s="148">
        <v>0</v>
      </c>
      <c r="R91" s="278"/>
    </row>
    <row r="92" spans="1:18" ht="30">
      <c r="A92" s="278"/>
      <c r="B92" s="278"/>
      <c r="C92" s="278"/>
      <c r="D92" s="278"/>
      <c r="E92" s="275" t="s">
        <v>1670</v>
      </c>
      <c r="F92" s="275">
        <v>1</v>
      </c>
      <c r="G92" s="291" t="s">
        <v>527</v>
      </c>
      <c r="H92" s="148">
        <v>1</v>
      </c>
      <c r="I92" s="275" t="s">
        <v>101</v>
      </c>
      <c r="J92" s="275">
        <v>1</v>
      </c>
      <c r="K92" s="278"/>
      <c r="L92" s="278"/>
      <c r="M92" s="34" t="s">
        <v>1692</v>
      </c>
      <c r="N92" s="275">
        <v>2</v>
      </c>
      <c r="O92" s="148" t="s">
        <v>495</v>
      </c>
      <c r="P92" s="148">
        <v>2</v>
      </c>
      <c r="Q92" s="148">
        <v>7</v>
      </c>
      <c r="R92" s="278"/>
    </row>
    <row r="93" spans="1:18" ht="29.25" customHeight="1">
      <c r="A93" s="278"/>
      <c r="B93" s="278"/>
      <c r="C93" s="278"/>
      <c r="D93" s="278"/>
      <c r="E93" s="275"/>
      <c r="F93" s="275"/>
      <c r="G93" s="55" t="s">
        <v>1693</v>
      </c>
      <c r="H93" s="263">
        <v>1</v>
      </c>
      <c r="I93" s="248"/>
      <c r="J93" s="248"/>
      <c r="K93" s="248"/>
      <c r="L93" s="248"/>
      <c r="M93" s="37" t="s">
        <v>222</v>
      </c>
      <c r="N93" s="282">
        <v>1</v>
      </c>
      <c r="O93" s="148" t="s">
        <v>550</v>
      </c>
      <c r="P93" s="148">
        <v>1</v>
      </c>
      <c r="Q93" s="148">
        <v>4</v>
      </c>
      <c r="R93" s="248"/>
    </row>
    <row r="94" spans="1:18" ht="30" customHeight="1">
      <c r="A94" s="278"/>
      <c r="B94" s="278"/>
      <c r="C94" s="278"/>
      <c r="D94" s="278"/>
      <c r="E94" s="275"/>
      <c r="F94" s="275"/>
      <c r="G94" s="291" t="s">
        <v>1694</v>
      </c>
      <c r="H94" s="263">
        <v>2</v>
      </c>
      <c r="I94" s="278"/>
      <c r="J94" s="278"/>
      <c r="K94" s="278"/>
      <c r="L94" s="278"/>
      <c r="M94" s="292" t="s">
        <v>1695</v>
      </c>
      <c r="N94" s="275">
        <v>1</v>
      </c>
      <c r="O94" s="148" t="s">
        <v>558</v>
      </c>
      <c r="P94" s="263">
        <v>1</v>
      </c>
      <c r="Q94" s="263">
        <v>3</v>
      </c>
      <c r="R94" s="278"/>
    </row>
    <row r="95" spans="1:18" ht="30" customHeight="1">
      <c r="A95" s="278"/>
      <c r="B95" s="278"/>
      <c r="C95" s="278"/>
      <c r="D95" s="278"/>
      <c r="E95" s="275"/>
      <c r="F95" s="275"/>
      <c r="G95" s="291" t="s">
        <v>455</v>
      </c>
      <c r="H95" s="263">
        <v>1</v>
      </c>
      <c r="I95" s="278"/>
      <c r="J95" s="278"/>
      <c r="K95" s="278"/>
      <c r="L95" s="278"/>
      <c r="M95" s="292" t="s">
        <v>546</v>
      </c>
      <c r="N95" s="275">
        <v>1</v>
      </c>
      <c r="O95" s="148" t="s">
        <v>1696</v>
      </c>
      <c r="P95" s="263">
        <v>1</v>
      </c>
      <c r="Q95" s="263">
        <v>0</v>
      </c>
      <c r="R95" s="278"/>
    </row>
    <row r="96" spans="1:18" ht="41.25" customHeight="1">
      <c r="A96" s="278"/>
      <c r="B96" s="278"/>
      <c r="C96" s="278"/>
      <c r="D96" s="278"/>
      <c r="E96" s="275"/>
      <c r="F96" s="275"/>
      <c r="G96" s="291" t="s">
        <v>1697</v>
      </c>
      <c r="H96" s="148">
        <v>1</v>
      </c>
      <c r="I96" s="278"/>
      <c r="J96" s="278"/>
      <c r="K96" s="278"/>
      <c r="L96" s="278"/>
      <c r="M96" s="34" t="s">
        <v>1698</v>
      </c>
      <c r="N96" s="275">
        <v>1</v>
      </c>
      <c r="O96" s="148" t="s">
        <v>578</v>
      </c>
      <c r="P96" s="263">
        <v>1</v>
      </c>
      <c r="Q96" s="263">
        <v>10</v>
      </c>
      <c r="R96" s="278"/>
    </row>
    <row r="97" spans="1:41" ht="24.75" customHeight="1">
      <c r="A97" s="278"/>
      <c r="B97" s="278"/>
      <c r="C97" s="278"/>
      <c r="D97" s="278"/>
      <c r="E97" s="275"/>
      <c r="F97" s="275"/>
      <c r="G97" s="291" t="s">
        <v>1699</v>
      </c>
      <c r="H97" s="148">
        <v>3</v>
      </c>
      <c r="I97" s="278"/>
      <c r="J97" s="278"/>
      <c r="K97" s="278"/>
      <c r="L97" s="278"/>
      <c r="M97" s="276" t="s">
        <v>1700</v>
      </c>
      <c r="N97" s="275">
        <v>1</v>
      </c>
      <c r="O97" s="148" t="s">
        <v>530</v>
      </c>
      <c r="P97" s="148">
        <v>1</v>
      </c>
      <c r="Q97" s="148">
        <v>0</v>
      </c>
      <c r="R97" s="278"/>
    </row>
    <row r="98" spans="1:41" ht="15.75" customHeight="1">
      <c r="A98" s="278"/>
      <c r="B98" s="278"/>
      <c r="C98" s="278"/>
      <c r="D98" s="278"/>
      <c r="E98" s="275"/>
      <c r="F98" s="275"/>
      <c r="G98" s="291"/>
      <c r="H98" s="148"/>
      <c r="I98" s="278"/>
      <c r="J98" s="278"/>
      <c r="K98" s="278"/>
      <c r="L98" s="278"/>
      <c r="M98" s="276" t="s">
        <v>1701</v>
      </c>
      <c r="N98" s="275">
        <v>1</v>
      </c>
      <c r="O98" s="148"/>
      <c r="P98" s="263"/>
      <c r="Q98" s="263"/>
      <c r="R98" s="278"/>
    </row>
    <row r="99" spans="1:41" ht="15">
      <c r="A99" s="248"/>
      <c r="B99" s="248"/>
      <c r="C99" s="248"/>
      <c r="D99" s="248"/>
      <c r="E99" s="279" t="s">
        <v>1628</v>
      </c>
      <c r="F99" s="279">
        <f>F81+F82+F83+F84+F85+F86+F87+F88+F89+F90+F91+F92</f>
        <v>40</v>
      </c>
      <c r="G99" s="55"/>
      <c r="H99" s="263">
        <f>H96+H95+H94+H93+H92+H91+H90+H89+H88+H87+H86+H85+H84+H83+H82+H81+H97</f>
        <v>40</v>
      </c>
      <c r="I99" s="248"/>
      <c r="J99" s="248">
        <f>J92+J91+J90+J89+J88+J87+J86+J85+J84+J83+J82+J81</f>
        <v>40</v>
      </c>
      <c r="K99" s="248"/>
      <c r="L99" s="248"/>
      <c r="M99" s="37"/>
      <c r="N99" s="282">
        <f>N98+N97++N96+N95+N94+N93+N92+N91+N90+N89+N88+N87+N86+N85+N84+N83+N82+N81</f>
        <v>40</v>
      </c>
      <c r="O99" s="148"/>
      <c r="P99" s="263">
        <f>P97+P96+P95+P94+P93+P92+P91+P90+P89+P88+P87+P86+P85+P84+P83+P82+P81</f>
        <v>40</v>
      </c>
      <c r="Q99" s="263"/>
      <c r="R99" s="248"/>
    </row>
    <row r="100" spans="1:41" ht="12" customHeight="1">
      <c r="A100" s="12">
        <v>2020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1:41" ht="46.5" customHeight="1">
      <c r="A101" s="11" t="s">
        <v>1647</v>
      </c>
      <c r="B101" s="11"/>
      <c r="C101" s="11" t="s">
        <v>1648</v>
      </c>
      <c r="D101" s="11"/>
      <c r="E101" s="11" t="s">
        <v>1649</v>
      </c>
      <c r="F101" s="11"/>
      <c r="G101" s="11" t="s">
        <v>1650</v>
      </c>
      <c r="H101" s="11"/>
      <c r="I101" s="11" t="s">
        <v>13</v>
      </c>
      <c r="J101" s="11"/>
      <c r="K101" s="11" t="s">
        <v>1651</v>
      </c>
      <c r="L101" s="11"/>
      <c r="M101" s="11" t="s">
        <v>14</v>
      </c>
      <c r="N101" s="11"/>
      <c r="O101" s="11" t="s">
        <v>1652</v>
      </c>
      <c r="P101" s="11"/>
      <c r="Q101" s="274" t="s">
        <v>1653</v>
      </c>
      <c r="R101" s="274" t="s">
        <v>1654</v>
      </c>
    </row>
    <row r="102" spans="1:41" ht="61.5" customHeight="1">
      <c r="A102" s="275" t="s">
        <v>1655</v>
      </c>
      <c r="B102" s="275">
        <v>4</v>
      </c>
      <c r="C102" s="88" t="s">
        <v>1702</v>
      </c>
      <c r="D102" s="148">
        <v>1</v>
      </c>
      <c r="E102" s="275" t="s">
        <v>1656</v>
      </c>
      <c r="F102" s="275">
        <v>2</v>
      </c>
      <c r="G102" s="88" t="s">
        <v>71</v>
      </c>
      <c r="H102" s="148">
        <v>5</v>
      </c>
      <c r="I102" s="276" t="s">
        <v>64</v>
      </c>
      <c r="J102" s="275">
        <v>14</v>
      </c>
      <c r="K102" s="148" t="s">
        <v>34</v>
      </c>
      <c r="L102" s="148">
        <v>26</v>
      </c>
      <c r="M102" s="37" t="s">
        <v>1677</v>
      </c>
      <c r="N102" s="275">
        <v>3</v>
      </c>
      <c r="O102" s="133" t="s">
        <v>66</v>
      </c>
      <c r="P102" s="134">
        <v>2</v>
      </c>
      <c r="Q102" s="134">
        <v>2</v>
      </c>
      <c r="R102" s="148">
        <f>SUM(Q102:Q115)</f>
        <v>32</v>
      </c>
      <c r="T102" s="5" t="s">
        <v>1703</v>
      </c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41" ht="21.75" customHeight="1">
      <c r="A103" s="275" t="s">
        <v>1657</v>
      </c>
      <c r="B103" s="275">
        <v>24</v>
      </c>
      <c r="C103" s="44" t="s">
        <v>1106</v>
      </c>
      <c r="D103" s="148">
        <v>8</v>
      </c>
      <c r="E103" s="275" t="s">
        <v>1658</v>
      </c>
      <c r="F103" s="275">
        <v>5</v>
      </c>
      <c r="G103" s="44" t="s">
        <v>511</v>
      </c>
      <c r="H103" s="148">
        <v>3</v>
      </c>
      <c r="I103" s="37" t="s">
        <v>501</v>
      </c>
      <c r="J103" s="275">
        <v>1</v>
      </c>
      <c r="K103" s="148" t="s">
        <v>1659</v>
      </c>
      <c r="L103" s="148">
        <v>0</v>
      </c>
      <c r="M103" s="37" t="s">
        <v>78</v>
      </c>
      <c r="N103" s="275">
        <v>1</v>
      </c>
      <c r="O103" s="92" t="s">
        <v>113</v>
      </c>
      <c r="P103" s="101">
        <v>17</v>
      </c>
      <c r="Q103" s="101">
        <v>0</v>
      </c>
      <c r="R103" s="277"/>
      <c r="T103" s="4" t="s">
        <v>1704</v>
      </c>
      <c r="U103" s="293" t="s">
        <v>1705</v>
      </c>
      <c r="V103" s="294">
        <v>2014</v>
      </c>
      <c r="W103" s="295">
        <v>2015</v>
      </c>
      <c r="X103" s="296">
        <v>2016</v>
      </c>
      <c r="Y103" s="297">
        <v>2017</v>
      </c>
      <c r="Z103" s="298">
        <v>2018</v>
      </c>
      <c r="AA103" s="299">
        <v>2019</v>
      </c>
      <c r="AB103" s="300">
        <v>2020</v>
      </c>
      <c r="AC103" s="301">
        <v>2021</v>
      </c>
      <c r="AD103" s="302">
        <v>2022</v>
      </c>
      <c r="AE103" s="303">
        <v>2023</v>
      </c>
      <c r="AF103" s="304">
        <v>2024</v>
      </c>
      <c r="AG103" s="305">
        <v>2025</v>
      </c>
      <c r="AH103" s="306">
        <v>2026</v>
      </c>
      <c r="AI103" s="3" t="s">
        <v>1706</v>
      </c>
      <c r="AJ103" s="3"/>
      <c r="AK103" s="254" t="s">
        <v>1707</v>
      </c>
    </row>
    <row r="104" spans="1:41" ht="15" customHeight="1">
      <c r="A104" s="278"/>
      <c r="B104" s="278"/>
      <c r="C104" s="88" t="s">
        <v>1676</v>
      </c>
      <c r="D104" s="148">
        <v>13</v>
      </c>
      <c r="E104" s="275" t="s">
        <v>1660</v>
      </c>
      <c r="F104" s="275">
        <v>0</v>
      </c>
      <c r="G104" s="44" t="s">
        <v>51</v>
      </c>
      <c r="H104" s="148">
        <v>2</v>
      </c>
      <c r="I104" s="37" t="s">
        <v>354</v>
      </c>
      <c r="J104" s="275">
        <v>2</v>
      </c>
      <c r="K104" s="148" t="s">
        <v>1661</v>
      </c>
      <c r="L104" s="148">
        <v>1</v>
      </c>
      <c r="M104" s="37" t="s">
        <v>1708</v>
      </c>
      <c r="N104" s="275">
        <v>1</v>
      </c>
      <c r="O104" s="92" t="s">
        <v>622</v>
      </c>
      <c r="P104" s="101">
        <v>1</v>
      </c>
      <c r="Q104" s="101">
        <v>0</v>
      </c>
      <c r="R104" s="277"/>
      <c r="T104" s="4"/>
      <c r="U104" s="307" t="s">
        <v>1709</v>
      </c>
      <c r="V104" s="308">
        <v>3</v>
      </c>
      <c r="W104" s="309">
        <v>4</v>
      </c>
      <c r="X104" s="310">
        <v>17</v>
      </c>
      <c r="Y104" s="311">
        <v>12</v>
      </c>
      <c r="Z104" s="312">
        <v>18</v>
      </c>
      <c r="AA104" s="313">
        <v>35</v>
      </c>
      <c r="AB104" s="314">
        <v>22</v>
      </c>
      <c r="AC104" s="315">
        <v>33</v>
      </c>
      <c r="AD104" s="316">
        <v>21</v>
      </c>
      <c r="AE104" s="317">
        <v>31</v>
      </c>
      <c r="AF104" s="318">
        <v>40</v>
      </c>
      <c r="AG104" s="319">
        <v>37</v>
      </c>
      <c r="AH104" s="320">
        <v>23</v>
      </c>
      <c r="AI104" s="321">
        <f>SUM(V104:AH104)</f>
        <v>296</v>
      </c>
      <c r="AJ104" s="5">
        <f>SUM(AI104+AI105)</f>
        <v>367</v>
      </c>
      <c r="AK104" s="271">
        <f>AI104*100/AJ104</f>
        <v>80.653950953678475</v>
      </c>
    </row>
    <row r="105" spans="1:41" ht="15">
      <c r="A105" s="278"/>
      <c r="B105" s="278"/>
      <c r="C105" s="44" t="s">
        <v>640</v>
      </c>
      <c r="D105" s="148">
        <v>1</v>
      </c>
      <c r="E105" s="275" t="s">
        <v>1662</v>
      </c>
      <c r="F105" s="275">
        <v>0</v>
      </c>
      <c r="G105" s="44" t="s">
        <v>644</v>
      </c>
      <c r="H105" s="148">
        <v>6</v>
      </c>
      <c r="I105" s="37" t="s">
        <v>1710</v>
      </c>
      <c r="J105" s="275">
        <v>1</v>
      </c>
      <c r="K105" s="277"/>
      <c r="L105" s="277"/>
      <c r="M105" s="37" t="s">
        <v>240</v>
      </c>
      <c r="N105" s="275">
        <v>11</v>
      </c>
      <c r="O105" s="92" t="s">
        <v>452</v>
      </c>
      <c r="P105" s="101">
        <v>1</v>
      </c>
      <c r="Q105" s="101">
        <v>0</v>
      </c>
      <c r="R105" s="277"/>
      <c r="T105" s="4"/>
      <c r="U105" s="307" t="s">
        <v>1711</v>
      </c>
      <c r="V105" s="308">
        <v>3</v>
      </c>
      <c r="W105" s="309">
        <v>3</v>
      </c>
      <c r="X105" s="310">
        <v>6</v>
      </c>
      <c r="Y105" s="311">
        <v>6</v>
      </c>
      <c r="Z105" s="312">
        <v>7</v>
      </c>
      <c r="AA105" s="313">
        <v>5</v>
      </c>
      <c r="AB105" s="314">
        <v>4</v>
      </c>
      <c r="AC105" s="315">
        <v>7</v>
      </c>
      <c r="AD105" s="316">
        <v>2</v>
      </c>
      <c r="AE105" s="317">
        <v>9</v>
      </c>
      <c r="AF105" s="318">
        <v>6</v>
      </c>
      <c r="AG105" s="319">
        <v>8</v>
      </c>
      <c r="AH105" s="320">
        <v>5</v>
      </c>
      <c r="AI105" s="322">
        <f>SUM(V105:AH105)</f>
        <v>71</v>
      </c>
      <c r="AJ105" s="5"/>
      <c r="AK105" s="271">
        <f>AI105*100/AJ104</f>
        <v>19.346049046321525</v>
      </c>
      <c r="AM105" s="2" t="s">
        <v>1712</v>
      </c>
      <c r="AN105" s="2"/>
      <c r="AO105" s="2"/>
    </row>
    <row r="106" spans="1:41" ht="20.25">
      <c r="A106" s="278"/>
      <c r="B106" s="278"/>
      <c r="C106" s="44" t="s">
        <v>539</v>
      </c>
      <c r="D106" s="148">
        <v>1</v>
      </c>
      <c r="E106" s="275" t="s">
        <v>1663</v>
      </c>
      <c r="F106" s="275">
        <v>2</v>
      </c>
      <c r="G106" s="44" t="s">
        <v>593</v>
      </c>
      <c r="H106" s="148">
        <v>1</v>
      </c>
      <c r="I106" s="37" t="s">
        <v>125</v>
      </c>
      <c r="J106" s="275">
        <v>4</v>
      </c>
      <c r="K106" s="277"/>
      <c r="L106" s="277"/>
      <c r="M106" s="37" t="s">
        <v>577</v>
      </c>
      <c r="N106" s="275">
        <v>1</v>
      </c>
      <c r="O106" s="92" t="s">
        <v>628</v>
      </c>
      <c r="P106" s="101">
        <v>1</v>
      </c>
      <c r="Q106" s="101">
        <v>3</v>
      </c>
      <c r="R106" s="278"/>
      <c r="T106" s="1" t="s">
        <v>1713</v>
      </c>
      <c r="U106" s="323" t="s">
        <v>64</v>
      </c>
      <c r="V106" s="324">
        <v>2</v>
      </c>
      <c r="W106" s="324">
        <v>0</v>
      </c>
      <c r="X106" s="324">
        <v>9</v>
      </c>
      <c r="Y106" s="324">
        <v>7</v>
      </c>
      <c r="Z106" s="324">
        <v>9</v>
      </c>
      <c r="AA106" s="324">
        <v>12</v>
      </c>
      <c r="AB106" s="325">
        <v>13</v>
      </c>
      <c r="AC106" s="325">
        <v>15</v>
      </c>
      <c r="AD106" s="325">
        <v>6</v>
      </c>
      <c r="AE106" s="325">
        <v>9</v>
      </c>
      <c r="AF106" s="325">
        <v>17</v>
      </c>
      <c r="AG106" s="324">
        <v>14</v>
      </c>
      <c r="AH106" s="324">
        <v>5</v>
      </c>
      <c r="AI106" s="401">
        <f t="shared" ref="AI106:AI137" si="0">V106+W106+X106+Y106+Z106+AA106+AB106+AC106+AD106+AE106+AF106+AG106+AH106</f>
        <v>118</v>
      </c>
      <c r="AJ106" s="401"/>
      <c r="AK106" s="326" t="s">
        <v>1714</v>
      </c>
      <c r="AN106" s="327">
        <f>AJ104/12</f>
        <v>30.583333333333332</v>
      </c>
    </row>
    <row r="107" spans="1:41" ht="20.25">
      <c r="A107" s="278"/>
      <c r="B107" s="278"/>
      <c r="C107" s="44" t="s">
        <v>681</v>
      </c>
      <c r="D107" s="148">
        <v>1</v>
      </c>
      <c r="E107" s="275" t="s">
        <v>1664</v>
      </c>
      <c r="F107" s="275">
        <v>3</v>
      </c>
      <c r="G107" s="44" t="s">
        <v>1715</v>
      </c>
      <c r="H107" s="148">
        <v>2</v>
      </c>
      <c r="I107" s="37" t="s">
        <v>43</v>
      </c>
      <c r="J107" s="275">
        <v>1</v>
      </c>
      <c r="K107" s="278"/>
      <c r="L107" s="278"/>
      <c r="M107" s="37" t="s">
        <v>670</v>
      </c>
      <c r="N107" s="275">
        <v>4</v>
      </c>
      <c r="O107" s="92" t="s">
        <v>127</v>
      </c>
      <c r="P107" s="148">
        <v>1</v>
      </c>
      <c r="Q107" s="148">
        <v>0</v>
      </c>
      <c r="R107" s="278"/>
      <c r="T107" s="1"/>
      <c r="U107" s="323" t="s">
        <v>501</v>
      </c>
      <c r="V107" s="324">
        <v>0</v>
      </c>
      <c r="W107" s="324">
        <v>0</v>
      </c>
      <c r="X107" s="324">
        <v>0</v>
      </c>
      <c r="Y107" s="324">
        <v>0</v>
      </c>
      <c r="Z107" s="324">
        <v>1</v>
      </c>
      <c r="AA107" s="324">
        <v>5</v>
      </c>
      <c r="AB107" s="325">
        <v>1</v>
      </c>
      <c r="AC107" s="325">
        <v>0</v>
      </c>
      <c r="AD107" s="325">
        <v>1</v>
      </c>
      <c r="AE107" s="325">
        <v>1</v>
      </c>
      <c r="AF107" s="325">
        <v>0</v>
      </c>
      <c r="AG107" s="324">
        <v>0</v>
      </c>
      <c r="AH107" s="324"/>
      <c r="AI107" s="401">
        <f t="shared" si="0"/>
        <v>9</v>
      </c>
      <c r="AJ107" s="401"/>
      <c r="AK107" s="326"/>
      <c r="AM107" s="2" t="s">
        <v>1716</v>
      </c>
      <c r="AN107" s="2"/>
      <c r="AO107" s="2"/>
    </row>
    <row r="108" spans="1:41" ht="20.25">
      <c r="A108" s="278"/>
      <c r="B108" s="278"/>
      <c r="C108" s="44" t="s">
        <v>1070</v>
      </c>
      <c r="D108" s="148">
        <v>1</v>
      </c>
      <c r="E108" s="275" t="s">
        <v>1665</v>
      </c>
      <c r="F108" s="275">
        <v>1</v>
      </c>
      <c r="G108" s="88" t="s">
        <v>1717</v>
      </c>
      <c r="H108" s="148">
        <v>1</v>
      </c>
      <c r="I108" s="37" t="s">
        <v>456</v>
      </c>
      <c r="J108" s="275">
        <v>2</v>
      </c>
      <c r="K108" s="278"/>
      <c r="L108" s="278"/>
      <c r="M108" s="37" t="s">
        <v>1718</v>
      </c>
      <c r="N108" s="275">
        <v>1</v>
      </c>
      <c r="O108" s="92" t="s">
        <v>145</v>
      </c>
      <c r="P108" s="148">
        <v>1</v>
      </c>
      <c r="Q108" s="148">
        <v>14</v>
      </c>
      <c r="R108" s="278"/>
      <c r="T108" s="1"/>
      <c r="U108" s="323" t="s">
        <v>354</v>
      </c>
      <c r="V108" s="324">
        <v>1</v>
      </c>
      <c r="W108" s="324">
        <v>4</v>
      </c>
      <c r="X108" s="324">
        <v>3</v>
      </c>
      <c r="Y108" s="324">
        <v>3</v>
      </c>
      <c r="Z108" s="324">
        <v>4</v>
      </c>
      <c r="AA108" s="324">
        <v>9</v>
      </c>
      <c r="AB108" s="325">
        <v>2</v>
      </c>
      <c r="AC108" s="325">
        <v>2</v>
      </c>
      <c r="AD108" s="325">
        <v>3</v>
      </c>
      <c r="AE108" s="325">
        <v>2</v>
      </c>
      <c r="AF108" s="325">
        <v>7</v>
      </c>
      <c r="AG108" s="324">
        <v>3</v>
      </c>
      <c r="AH108" s="324">
        <v>2</v>
      </c>
      <c r="AI108" s="401">
        <f t="shared" si="0"/>
        <v>45</v>
      </c>
      <c r="AJ108" s="401"/>
      <c r="AK108" s="326" t="s">
        <v>1719</v>
      </c>
      <c r="AN108" s="327">
        <f>AN106/12</f>
        <v>2.5486111111111112</v>
      </c>
    </row>
    <row r="109" spans="1:41" ht="30.75" customHeight="1">
      <c r="A109" s="278"/>
      <c r="B109" s="278"/>
      <c r="C109" s="44"/>
      <c r="D109" s="148"/>
      <c r="E109" s="275" t="s">
        <v>1666</v>
      </c>
      <c r="F109" s="275">
        <v>2</v>
      </c>
      <c r="G109" s="44" t="s">
        <v>1720</v>
      </c>
      <c r="H109" s="148">
        <v>1</v>
      </c>
      <c r="I109" s="37" t="s">
        <v>673</v>
      </c>
      <c r="J109" s="275">
        <v>1</v>
      </c>
      <c r="K109" s="278"/>
      <c r="L109" s="278"/>
      <c r="M109" s="37" t="s">
        <v>1721</v>
      </c>
      <c r="N109" s="275">
        <v>1</v>
      </c>
      <c r="O109" s="92" t="s">
        <v>686</v>
      </c>
      <c r="P109" s="101">
        <v>1</v>
      </c>
      <c r="Q109" s="148">
        <v>0</v>
      </c>
      <c r="R109" s="278"/>
      <c r="T109" s="1"/>
      <c r="U109" s="323" t="s">
        <v>125</v>
      </c>
      <c r="V109" s="324">
        <v>0</v>
      </c>
      <c r="W109" s="324">
        <v>0</v>
      </c>
      <c r="X109" s="324">
        <v>2</v>
      </c>
      <c r="Y109" s="324">
        <v>0</v>
      </c>
      <c r="Z109" s="324">
        <v>1</v>
      </c>
      <c r="AA109" s="324">
        <v>0</v>
      </c>
      <c r="AB109" s="325">
        <v>4</v>
      </c>
      <c r="AC109" s="325">
        <v>3</v>
      </c>
      <c r="AD109" s="325">
        <v>1</v>
      </c>
      <c r="AE109" s="325">
        <v>5</v>
      </c>
      <c r="AF109" s="325">
        <v>4</v>
      </c>
      <c r="AG109" s="324">
        <v>2</v>
      </c>
      <c r="AH109" s="324">
        <v>5</v>
      </c>
      <c r="AI109" s="401">
        <f t="shared" si="0"/>
        <v>27</v>
      </c>
      <c r="AJ109" s="401"/>
      <c r="AK109" s="326" t="s">
        <v>1722</v>
      </c>
    </row>
    <row r="110" spans="1:41" ht="19.5" customHeight="1">
      <c r="A110" s="278"/>
      <c r="B110" s="278"/>
      <c r="C110" s="328"/>
      <c r="D110" s="278"/>
      <c r="E110" s="275" t="s">
        <v>1667</v>
      </c>
      <c r="F110" s="275">
        <v>2</v>
      </c>
      <c r="G110" s="44" t="s">
        <v>396</v>
      </c>
      <c r="H110" s="148">
        <v>1</v>
      </c>
      <c r="I110" s="37" t="s">
        <v>1723</v>
      </c>
      <c r="J110" s="275">
        <v>1</v>
      </c>
      <c r="K110" s="278"/>
      <c r="L110" s="278"/>
      <c r="M110" s="37" t="s">
        <v>222</v>
      </c>
      <c r="N110" s="275">
        <v>1</v>
      </c>
      <c r="O110" s="92" t="s">
        <v>173</v>
      </c>
      <c r="P110" s="101">
        <v>1</v>
      </c>
      <c r="Q110" s="148">
        <v>2</v>
      </c>
      <c r="R110" s="278"/>
      <c r="T110" s="1"/>
      <c r="U110" s="323" t="s">
        <v>1724</v>
      </c>
      <c r="V110" s="324">
        <v>1</v>
      </c>
      <c r="W110" s="324">
        <v>0</v>
      </c>
      <c r="X110" s="324">
        <v>1</v>
      </c>
      <c r="Y110" s="324">
        <v>0</v>
      </c>
      <c r="Z110" s="324">
        <v>1</v>
      </c>
      <c r="AA110" s="324">
        <v>2</v>
      </c>
      <c r="AB110" s="325">
        <v>1</v>
      </c>
      <c r="AC110" s="325">
        <v>0</v>
      </c>
      <c r="AD110" s="325">
        <v>1</v>
      </c>
      <c r="AE110" s="325">
        <v>0</v>
      </c>
      <c r="AF110" s="325">
        <v>1</v>
      </c>
      <c r="AG110" s="324">
        <v>7</v>
      </c>
      <c r="AH110" s="324">
        <v>2</v>
      </c>
      <c r="AI110" s="401">
        <f t="shared" si="0"/>
        <v>17</v>
      </c>
      <c r="AJ110" s="401"/>
      <c r="AK110" s="326"/>
      <c r="AN110" s="254"/>
    </row>
    <row r="111" spans="1:41" ht="20.25">
      <c r="A111" s="278"/>
      <c r="B111" s="278"/>
      <c r="C111" s="328"/>
      <c r="D111" s="278"/>
      <c r="E111" s="275" t="s">
        <v>1668</v>
      </c>
      <c r="F111" s="275">
        <v>3</v>
      </c>
      <c r="G111" s="44" t="s">
        <v>1725</v>
      </c>
      <c r="H111" s="148">
        <v>1</v>
      </c>
      <c r="I111" s="278"/>
      <c r="J111" s="278"/>
      <c r="K111" s="278"/>
      <c r="L111" s="278"/>
      <c r="M111" s="37" t="s">
        <v>1726</v>
      </c>
      <c r="N111" s="275">
        <v>1</v>
      </c>
      <c r="O111" s="92" t="s">
        <v>765</v>
      </c>
      <c r="P111" s="148">
        <v>1</v>
      </c>
      <c r="Q111" s="148">
        <v>11</v>
      </c>
      <c r="R111" s="278"/>
      <c r="T111" s="1"/>
      <c r="U111" s="323" t="s">
        <v>776</v>
      </c>
      <c r="V111" s="324">
        <v>1</v>
      </c>
      <c r="W111" s="324">
        <v>0</v>
      </c>
      <c r="X111" s="324">
        <v>0</v>
      </c>
      <c r="Y111" s="324">
        <v>1</v>
      </c>
      <c r="Z111" s="324">
        <v>1</v>
      </c>
      <c r="AA111" s="324">
        <v>1</v>
      </c>
      <c r="AB111" s="325">
        <v>0</v>
      </c>
      <c r="AC111" s="325">
        <v>1</v>
      </c>
      <c r="AD111" s="325">
        <v>0</v>
      </c>
      <c r="AE111" s="325">
        <v>0</v>
      </c>
      <c r="AF111" s="325">
        <v>1</v>
      </c>
      <c r="AG111" s="324">
        <v>1</v>
      </c>
      <c r="AH111" s="324"/>
      <c r="AI111" s="401">
        <f t="shared" si="0"/>
        <v>7</v>
      </c>
      <c r="AJ111" s="401"/>
      <c r="AK111" s="326"/>
    </row>
    <row r="112" spans="1:41" ht="20.25">
      <c r="A112" s="278"/>
      <c r="B112" s="278"/>
      <c r="C112" s="44" t="s">
        <v>305</v>
      </c>
      <c r="D112" s="148">
        <v>1</v>
      </c>
      <c r="E112" s="275" t="s">
        <v>1669</v>
      </c>
      <c r="F112" s="275">
        <v>4</v>
      </c>
      <c r="G112" s="44" t="s">
        <v>31</v>
      </c>
      <c r="H112" s="148">
        <v>1</v>
      </c>
      <c r="I112" s="278"/>
      <c r="J112" s="278"/>
      <c r="K112" s="278"/>
      <c r="L112" s="278"/>
      <c r="M112" s="37" t="s">
        <v>119</v>
      </c>
      <c r="N112" s="275">
        <v>1</v>
      </c>
      <c r="O112" s="329"/>
      <c r="P112" s="278"/>
      <c r="Q112" s="278"/>
      <c r="R112" s="278"/>
      <c r="T112" s="1"/>
      <c r="U112" s="323" t="s">
        <v>1727</v>
      </c>
      <c r="V112" s="324">
        <v>0</v>
      </c>
      <c r="W112" s="324">
        <v>0</v>
      </c>
      <c r="X112" s="324">
        <v>2</v>
      </c>
      <c r="Y112" s="324">
        <v>4</v>
      </c>
      <c r="Z112" s="324">
        <v>7</v>
      </c>
      <c r="AA112" s="324">
        <v>5</v>
      </c>
      <c r="AB112" s="325">
        <v>0</v>
      </c>
      <c r="AC112" s="325">
        <v>6</v>
      </c>
      <c r="AD112" s="325">
        <v>4</v>
      </c>
      <c r="AE112" s="325">
        <v>9</v>
      </c>
      <c r="AF112" s="325">
        <v>6</v>
      </c>
      <c r="AG112" s="324">
        <v>9</v>
      </c>
      <c r="AH112" s="324">
        <v>2</v>
      </c>
      <c r="AI112" s="401">
        <f t="shared" si="0"/>
        <v>54</v>
      </c>
      <c r="AJ112" s="401"/>
      <c r="AK112" s="326" t="s">
        <v>1728</v>
      </c>
    </row>
    <row r="113" spans="1:38" ht="20.25">
      <c r="A113" s="278"/>
      <c r="B113" s="278"/>
      <c r="C113" s="44"/>
      <c r="D113" s="148"/>
      <c r="E113" s="275"/>
      <c r="F113" s="275"/>
      <c r="G113" s="44" t="s">
        <v>135</v>
      </c>
      <c r="H113" s="148">
        <v>1</v>
      </c>
      <c r="I113" s="278"/>
      <c r="J113" s="278"/>
      <c r="K113" s="278"/>
      <c r="L113" s="278"/>
      <c r="M113" s="37" t="s">
        <v>763</v>
      </c>
      <c r="N113" s="275">
        <v>1</v>
      </c>
      <c r="O113" s="329"/>
      <c r="P113" s="278"/>
      <c r="Q113" s="278"/>
      <c r="R113" s="278"/>
      <c r="T113" s="1"/>
      <c r="U113" s="323" t="s">
        <v>1729</v>
      </c>
      <c r="V113" s="324">
        <v>0</v>
      </c>
      <c r="W113" s="324">
        <v>1</v>
      </c>
      <c r="X113" s="324">
        <v>0</v>
      </c>
      <c r="Y113" s="324">
        <v>0</v>
      </c>
      <c r="Z113" s="324">
        <v>0</v>
      </c>
      <c r="AA113" s="324">
        <v>0</v>
      </c>
      <c r="AB113" s="325">
        <v>0</v>
      </c>
      <c r="AC113" s="325">
        <v>0</v>
      </c>
      <c r="AD113" s="325">
        <v>0</v>
      </c>
      <c r="AE113" s="325">
        <v>0</v>
      </c>
      <c r="AF113" s="325">
        <v>0</v>
      </c>
      <c r="AG113" s="324">
        <v>0</v>
      </c>
      <c r="AH113" s="324"/>
      <c r="AI113" s="401">
        <f t="shared" si="0"/>
        <v>1</v>
      </c>
      <c r="AJ113" s="401"/>
      <c r="AK113" s="326"/>
    </row>
    <row r="114" spans="1:38" ht="20.25">
      <c r="A114" s="278"/>
      <c r="B114" s="278"/>
      <c r="C114" s="278"/>
      <c r="D114" s="278"/>
      <c r="E114" s="275" t="s">
        <v>1670</v>
      </c>
      <c r="F114" s="275">
        <v>3</v>
      </c>
      <c r="G114" s="44" t="s">
        <v>287</v>
      </c>
      <c r="H114" s="148">
        <v>2</v>
      </c>
      <c r="I114" s="278"/>
      <c r="J114" s="278"/>
      <c r="K114" s="278"/>
      <c r="L114" s="278"/>
      <c r="M114" s="329"/>
      <c r="N114" s="278"/>
      <c r="O114" s="278"/>
      <c r="P114" s="278"/>
      <c r="Q114" s="278"/>
      <c r="R114" s="278"/>
      <c r="T114" s="1"/>
      <c r="U114" s="323" t="s">
        <v>528</v>
      </c>
      <c r="V114" s="324">
        <v>0</v>
      </c>
      <c r="W114" s="324">
        <v>0</v>
      </c>
      <c r="X114" s="324">
        <v>0</v>
      </c>
      <c r="Y114" s="324">
        <v>0</v>
      </c>
      <c r="Z114" s="324">
        <v>0</v>
      </c>
      <c r="AA114" s="324">
        <v>2</v>
      </c>
      <c r="AB114" s="325">
        <v>0</v>
      </c>
      <c r="AC114" s="325">
        <v>0</v>
      </c>
      <c r="AD114" s="325">
        <v>1</v>
      </c>
      <c r="AE114" s="325">
        <v>0</v>
      </c>
      <c r="AF114" s="325">
        <v>0</v>
      </c>
      <c r="AG114" s="324">
        <v>0</v>
      </c>
      <c r="AH114" s="324"/>
      <c r="AI114" s="401">
        <f t="shared" si="0"/>
        <v>3</v>
      </c>
      <c r="AJ114" s="401"/>
      <c r="AK114" s="326"/>
    </row>
    <row r="115" spans="1:38" ht="20.25">
      <c r="A115" s="283"/>
      <c r="B115" s="330">
        <f>SUM(B102:B114)</f>
        <v>28</v>
      </c>
      <c r="C115" s="283"/>
      <c r="D115" s="331">
        <f>SUM(D102:D114)</f>
        <v>27</v>
      </c>
      <c r="E115" s="284" t="s">
        <v>1706</v>
      </c>
      <c r="F115" s="284">
        <f>SUM(F102:F114)</f>
        <v>27</v>
      </c>
      <c r="G115" s="332"/>
      <c r="H115" s="331">
        <f>SUM(H102:H114)</f>
        <v>27</v>
      </c>
      <c r="I115" s="283"/>
      <c r="J115" s="330">
        <f>SUM(J102:J114)</f>
        <v>27</v>
      </c>
      <c r="K115" s="283"/>
      <c r="L115" s="331">
        <f>SUM(L102:L114)</f>
        <v>27</v>
      </c>
      <c r="M115" s="333"/>
      <c r="N115" s="330">
        <f>SUM(N102:N114)</f>
        <v>27</v>
      </c>
      <c r="O115" s="283"/>
      <c r="P115" s="331">
        <f>SUM(P102:P114)</f>
        <v>27</v>
      </c>
      <c r="Q115" s="283"/>
      <c r="R115" s="283"/>
      <c r="T115" s="1"/>
      <c r="U115" s="323" t="s">
        <v>221</v>
      </c>
      <c r="V115" s="324">
        <v>0</v>
      </c>
      <c r="W115" s="324">
        <v>1</v>
      </c>
      <c r="X115" s="324">
        <v>3</v>
      </c>
      <c r="Y115" s="324">
        <v>2</v>
      </c>
      <c r="Z115" s="324">
        <v>0</v>
      </c>
      <c r="AA115" s="324">
        <v>2</v>
      </c>
      <c r="AB115" s="325">
        <v>1</v>
      </c>
      <c r="AC115" s="325">
        <v>0</v>
      </c>
      <c r="AD115" s="325">
        <v>1</v>
      </c>
      <c r="AE115" s="325">
        <v>4</v>
      </c>
      <c r="AF115" s="325">
        <v>3</v>
      </c>
      <c r="AG115" s="324">
        <v>1</v>
      </c>
      <c r="AH115" s="324">
        <v>1</v>
      </c>
      <c r="AI115" s="401">
        <f t="shared" si="0"/>
        <v>19</v>
      </c>
      <c r="AJ115" s="401"/>
      <c r="AK115" s="326" t="s">
        <v>1730</v>
      </c>
      <c r="AL115" s="326"/>
    </row>
    <row r="116" spans="1:38" ht="20.25">
      <c r="B116" s="334"/>
      <c r="D116" s="334"/>
      <c r="E116" s="335"/>
      <c r="F116" s="335"/>
      <c r="G116" s="336"/>
      <c r="H116" s="334"/>
      <c r="J116" s="334"/>
      <c r="L116" s="334"/>
      <c r="M116" s="244"/>
      <c r="N116" s="334"/>
      <c r="P116" s="334"/>
      <c r="T116" s="1"/>
      <c r="U116" s="337" t="s">
        <v>790</v>
      </c>
      <c r="V116" s="338">
        <v>0</v>
      </c>
      <c r="W116" s="338">
        <v>0</v>
      </c>
      <c r="X116" s="338">
        <v>0</v>
      </c>
      <c r="Y116" s="338">
        <v>0</v>
      </c>
      <c r="Z116" s="338">
        <v>0</v>
      </c>
      <c r="AA116" s="338">
        <v>0</v>
      </c>
      <c r="AB116" s="339">
        <v>0</v>
      </c>
      <c r="AC116" s="339">
        <v>1</v>
      </c>
      <c r="AD116" s="339">
        <v>0</v>
      </c>
      <c r="AE116" s="339">
        <v>0</v>
      </c>
      <c r="AF116" s="339">
        <v>0</v>
      </c>
      <c r="AG116" s="324">
        <v>0</v>
      </c>
      <c r="AH116" s="324"/>
      <c r="AI116" s="401">
        <f t="shared" si="0"/>
        <v>1</v>
      </c>
      <c r="AJ116" s="401"/>
      <c r="AK116" s="326"/>
    </row>
    <row r="117" spans="1:38" ht="20.25">
      <c r="B117" s="334"/>
      <c r="D117" s="334"/>
      <c r="E117" s="335"/>
      <c r="F117" s="335"/>
      <c r="G117" s="336"/>
      <c r="H117" s="334"/>
      <c r="J117" s="334"/>
      <c r="L117" s="334"/>
      <c r="M117" s="244"/>
      <c r="N117" s="334"/>
      <c r="P117" s="334"/>
      <c r="T117" s="1"/>
      <c r="U117" s="337" t="s">
        <v>101</v>
      </c>
      <c r="V117" s="338">
        <v>0</v>
      </c>
      <c r="W117" s="338">
        <v>0</v>
      </c>
      <c r="X117" s="338">
        <v>0</v>
      </c>
      <c r="Y117" s="338">
        <v>0</v>
      </c>
      <c r="Z117" s="338">
        <v>0</v>
      </c>
      <c r="AA117" s="338">
        <v>0</v>
      </c>
      <c r="AB117" s="339">
        <v>0</v>
      </c>
      <c r="AC117" s="339">
        <v>1</v>
      </c>
      <c r="AD117" s="339">
        <v>0</v>
      </c>
      <c r="AE117" s="339">
        <v>0</v>
      </c>
      <c r="AF117" s="339">
        <v>1</v>
      </c>
      <c r="AG117" s="324">
        <v>0</v>
      </c>
      <c r="AH117" s="324"/>
      <c r="AI117" s="401">
        <f t="shared" si="0"/>
        <v>2</v>
      </c>
      <c r="AJ117" s="401"/>
      <c r="AK117" s="326"/>
    </row>
    <row r="118" spans="1:38" ht="20.25">
      <c r="B118" s="334"/>
      <c r="D118" s="334"/>
      <c r="E118" s="335"/>
      <c r="F118" s="335"/>
      <c r="G118" s="336"/>
      <c r="H118" s="334"/>
      <c r="J118" s="334"/>
      <c r="L118" s="334"/>
      <c r="M118" s="244"/>
      <c r="N118" s="334"/>
      <c r="P118" s="334"/>
      <c r="T118" s="1"/>
      <c r="U118" s="337" t="s">
        <v>176</v>
      </c>
      <c r="V118" s="338">
        <v>0</v>
      </c>
      <c r="W118" s="338">
        <v>0</v>
      </c>
      <c r="X118" s="338">
        <v>0</v>
      </c>
      <c r="Y118" s="338">
        <v>0</v>
      </c>
      <c r="Z118" s="338">
        <v>0</v>
      </c>
      <c r="AA118" s="338">
        <v>0</v>
      </c>
      <c r="AB118" s="339">
        <v>0</v>
      </c>
      <c r="AC118" s="339">
        <v>1</v>
      </c>
      <c r="AD118" s="339">
        <v>0</v>
      </c>
      <c r="AE118" s="339">
        <v>0</v>
      </c>
      <c r="AF118" s="339">
        <v>1</v>
      </c>
      <c r="AG118" s="324">
        <v>0</v>
      </c>
      <c r="AH118" s="324">
        <v>1</v>
      </c>
      <c r="AI118" s="401">
        <f t="shared" si="0"/>
        <v>3</v>
      </c>
      <c r="AJ118" s="401"/>
      <c r="AK118" s="326"/>
    </row>
    <row r="119" spans="1:38" ht="20.25">
      <c r="B119" s="334"/>
      <c r="D119" s="334"/>
      <c r="E119" s="335"/>
      <c r="F119" s="335"/>
      <c r="G119" s="336"/>
      <c r="H119" s="334"/>
      <c r="J119" s="334"/>
      <c r="L119" s="334"/>
      <c r="M119" s="244"/>
      <c r="N119" s="334"/>
      <c r="P119" s="334"/>
      <c r="T119" s="1"/>
      <c r="U119" s="337" t="s">
        <v>1731</v>
      </c>
      <c r="V119" s="338">
        <v>0</v>
      </c>
      <c r="W119" s="338">
        <v>0</v>
      </c>
      <c r="X119" s="338">
        <v>0</v>
      </c>
      <c r="Y119" s="338">
        <v>0</v>
      </c>
      <c r="Z119" s="338">
        <v>0</v>
      </c>
      <c r="AA119" s="338">
        <v>0</v>
      </c>
      <c r="AB119" s="339">
        <v>0</v>
      </c>
      <c r="AC119" s="339">
        <v>4</v>
      </c>
      <c r="AD119" s="339">
        <v>0</v>
      </c>
      <c r="AE119" s="339">
        <v>1</v>
      </c>
      <c r="AF119" s="339">
        <v>0</v>
      </c>
      <c r="AG119" s="324">
        <v>0</v>
      </c>
      <c r="AH119" s="324"/>
      <c r="AI119" s="401">
        <f t="shared" si="0"/>
        <v>5</v>
      </c>
      <c r="AJ119" s="401"/>
      <c r="AK119" s="326"/>
    </row>
    <row r="120" spans="1:38" ht="20.25">
      <c r="B120" s="334"/>
      <c r="D120" s="334"/>
      <c r="E120" s="335"/>
      <c r="F120" s="335"/>
      <c r="G120" s="336"/>
      <c r="H120" s="334"/>
      <c r="J120" s="334"/>
      <c r="L120" s="334"/>
      <c r="M120" s="244"/>
      <c r="N120" s="334"/>
      <c r="P120" s="334"/>
      <c r="T120" s="1"/>
      <c r="U120" s="337" t="s">
        <v>1083</v>
      </c>
      <c r="V120" s="338">
        <v>0</v>
      </c>
      <c r="W120" s="338">
        <v>0</v>
      </c>
      <c r="X120" s="338">
        <v>0</v>
      </c>
      <c r="Y120" s="338">
        <v>0</v>
      </c>
      <c r="Z120" s="338">
        <v>0</v>
      </c>
      <c r="AA120" s="338">
        <v>0</v>
      </c>
      <c r="AB120" s="339">
        <v>0</v>
      </c>
      <c r="AC120" s="339">
        <v>0</v>
      </c>
      <c r="AD120" s="339">
        <v>0</v>
      </c>
      <c r="AE120" s="339">
        <v>1</v>
      </c>
      <c r="AF120" s="339">
        <v>0</v>
      </c>
      <c r="AG120" s="324">
        <v>0</v>
      </c>
      <c r="AH120" s="324"/>
      <c r="AI120" s="401">
        <f t="shared" si="0"/>
        <v>1</v>
      </c>
      <c r="AJ120" s="401"/>
      <c r="AK120" s="326"/>
    </row>
    <row r="121" spans="1:38" ht="20.25">
      <c r="B121" s="334"/>
      <c r="D121" s="334"/>
      <c r="E121" s="335"/>
      <c r="F121" s="335"/>
      <c r="G121" s="336"/>
      <c r="H121" s="334"/>
      <c r="J121" s="334"/>
      <c r="L121" s="334"/>
      <c r="M121" s="244"/>
      <c r="N121" s="334"/>
      <c r="P121" s="334"/>
      <c r="T121" s="1"/>
      <c r="U121" s="337" t="s">
        <v>1054</v>
      </c>
      <c r="V121" s="338">
        <v>0</v>
      </c>
      <c r="W121" s="338">
        <v>0</v>
      </c>
      <c r="X121" s="338">
        <v>0</v>
      </c>
      <c r="Y121" s="338">
        <v>0</v>
      </c>
      <c r="Z121" s="338">
        <v>0</v>
      </c>
      <c r="AA121" s="338">
        <v>0</v>
      </c>
      <c r="AB121" s="339">
        <v>0</v>
      </c>
      <c r="AC121" s="339">
        <v>0</v>
      </c>
      <c r="AD121" s="339">
        <v>0</v>
      </c>
      <c r="AE121" s="339">
        <v>2</v>
      </c>
      <c r="AF121" s="339">
        <v>1</v>
      </c>
      <c r="AG121" s="324">
        <v>0</v>
      </c>
      <c r="AH121" s="324">
        <v>1</v>
      </c>
      <c r="AI121" s="401">
        <f t="shared" si="0"/>
        <v>4</v>
      </c>
      <c r="AJ121" s="401"/>
      <c r="AK121" s="326"/>
    </row>
    <row r="122" spans="1:38" ht="20.25">
      <c r="B122" s="334"/>
      <c r="D122" s="334"/>
      <c r="E122" s="335"/>
      <c r="F122" s="335"/>
      <c r="G122" s="336"/>
      <c r="H122" s="334"/>
      <c r="J122" s="334"/>
      <c r="L122" s="334"/>
      <c r="M122" s="244"/>
      <c r="N122" s="334"/>
      <c r="P122" s="334"/>
      <c r="T122" s="1"/>
      <c r="U122" s="337" t="s">
        <v>1732</v>
      </c>
      <c r="V122" s="338">
        <v>0</v>
      </c>
      <c r="W122" s="338">
        <v>0</v>
      </c>
      <c r="X122" s="338">
        <v>0</v>
      </c>
      <c r="Y122" s="338">
        <v>0</v>
      </c>
      <c r="Z122" s="338">
        <v>0</v>
      </c>
      <c r="AA122" s="338">
        <v>0</v>
      </c>
      <c r="AB122" s="339">
        <v>2</v>
      </c>
      <c r="AC122" s="339">
        <v>1</v>
      </c>
      <c r="AD122" s="339">
        <v>1</v>
      </c>
      <c r="AE122" s="339">
        <v>1</v>
      </c>
      <c r="AF122" s="339">
        <v>1</v>
      </c>
      <c r="AG122" s="324">
        <v>4</v>
      </c>
      <c r="AH122" s="324">
        <v>4</v>
      </c>
      <c r="AI122" s="401">
        <f t="shared" si="0"/>
        <v>14</v>
      </c>
      <c r="AJ122" s="401"/>
      <c r="AK122" s="326"/>
    </row>
    <row r="123" spans="1:38" ht="20.25">
      <c r="B123" s="334"/>
      <c r="D123" s="334"/>
      <c r="E123" s="335"/>
      <c r="F123" s="335"/>
      <c r="G123" s="336"/>
      <c r="H123" s="334"/>
      <c r="J123" s="334"/>
      <c r="L123" s="334"/>
      <c r="M123" s="244"/>
      <c r="N123" s="334"/>
      <c r="P123" s="334"/>
      <c r="T123" s="1"/>
      <c r="U123" s="337" t="s">
        <v>1733</v>
      </c>
      <c r="V123" s="338">
        <v>0</v>
      </c>
      <c r="W123" s="338">
        <v>0</v>
      </c>
      <c r="X123" s="338">
        <v>0</v>
      </c>
      <c r="Y123" s="338">
        <v>0</v>
      </c>
      <c r="Z123" s="338">
        <v>0</v>
      </c>
      <c r="AA123" s="338">
        <v>0</v>
      </c>
      <c r="AB123" s="339">
        <v>0</v>
      </c>
      <c r="AC123" s="339">
        <v>0</v>
      </c>
      <c r="AD123" s="339">
        <v>0</v>
      </c>
      <c r="AE123" s="339">
        <v>1</v>
      </c>
      <c r="AF123" s="339">
        <v>0</v>
      </c>
      <c r="AG123" s="324">
        <v>0</v>
      </c>
      <c r="AH123" s="324"/>
      <c r="AI123" s="401">
        <f t="shared" si="0"/>
        <v>1</v>
      </c>
      <c r="AJ123" s="401"/>
      <c r="AK123" s="326"/>
    </row>
    <row r="124" spans="1:38" ht="20.25">
      <c r="B124" s="334"/>
      <c r="D124" s="334"/>
      <c r="E124" s="335"/>
      <c r="F124" s="335"/>
      <c r="G124" s="336"/>
      <c r="H124" s="334"/>
      <c r="J124" s="334"/>
      <c r="L124" s="334"/>
      <c r="M124" s="244"/>
      <c r="N124" s="334"/>
      <c r="P124" s="334"/>
      <c r="T124" s="1"/>
      <c r="U124" s="337" t="s">
        <v>43</v>
      </c>
      <c r="V124" s="338">
        <v>0</v>
      </c>
      <c r="W124" s="338">
        <v>0</v>
      </c>
      <c r="X124" s="338">
        <v>0</v>
      </c>
      <c r="Y124" s="338">
        <v>0</v>
      </c>
      <c r="Z124" s="338">
        <v>0</v>
      </c>
      <c r="AA124" s="338">
        <v>0</v>
      </c>
      <c r="AB124" s="339">
        <v>1</v>
      </c>
      <c r="AC124" s="339">
        <v>0</v>
      </c>
      <c r="AD124" s="339">
        <v>1</v>
      </c>
      <c r="AE124" s="339">
        <v>1</v>
      </c>
      <c r="AF124" s="339">
        <v>0</v>
      </c>
      <c r="AG124" s="324">
        <v>0</v>
      </c>
      <c r="AH124" s="324">
        <v>3</v>
      </c>
      <c r="AI124" s="401">
        <f t="shared" si="0"/>
        <v>6</v>
      </c>
      <c r="AJ124" s="401"/>
      <c r="AK124" s="326"/>
    </row>
    <row r="125" spans="1:38" ht="20.25">
      <c r="B125" s="334"/>
      <c r="D125" s="334"/>
      <c r="E125" s="335"/>
      <c r="F125" s="335"/>
      <c r="G125" s="336"/>
      <c r="H125" s="334"/>
      <c r="J125" s="334"/>
      <c r="L125" s="334"/>
      <c r="M125" s="244"/>
      <c r="N125" s="334"/>
      <c r="P125" s="334"/>
      <c r="T125" s="1"/>
      <c r="U125" s="337" t="s">
        <v>1180</v>
      </c>
      <c r="V125" s="338">
        <v>0</v>
      </c>
      <c r="W125" s="338">
        <v>0</v>
      </c>
      <c r="X125" s="338">
        <v>0</v>
      </c>
      <c r="Y125" s="338">
        <v>0</v>
      </c>
      <c r="Z125" s="338">
        <v>0</v>
      </c>
      <c r="AA125" s="338">
        <v>0</v>
      </c>
      <c r="AB125" s="339">
        <v>0</v>
      </c>
      <c r="AC125" s="339">
        <v>0</v>
      </c>
      <c r="AD125" s="339">
        <v>0</v>
      </c>
      <c r="AE125" s="339">
        <v>0</v>
      </c>
      <c r="AF125" s="339">
        <v>1</v>
      </c>
      <c r="AG125" s="324">
        <v>0</v>
      </c>
      <c r="AH125" s="324"/>
      <c r="AI125" s="401">
        <f t="shared" si="0"/>
        <v>1</v>
      </c>
      <c r="AJ125" s="401"/>
      <c r="AK125" s="326"/>
    </row>
    <row r="126" spans="1:38" ht="20.25">
      <c r="B126" s="334"/>
      <c r="D126" s="334"/>
      <c r="E126" s="335"/>
      <c r="F126" s="335"/>
      <c r="G126" s="336"/>
      <c r="H126" s="334"/>
      <c r="J126" s="334"/>
      <c r="L126" s="334"/>
      <c r="M126" s="244"/>
      <c r="N126" s="334"/>
      <c r="P126" s="334"/>
      <c r="T126" s="1"/>
      <c r="U126" s="337" t="s">
        <v>1734</v>
      </c>
      <c r="V126" s="338">
        <v>0</v>
      </c>
      <c r="W126" s="338">
        <v>0</v>
      </c>
      <c r="X126" s="338">
        <v>0</v>
      </c>
      <c r="Y126" s="338">
        <v>0</v>
      </c>
      <c r="Z126" s="338">
        <v>0</v>
      </c>
      <c r="AA126" s="338">
        <v>0</v>
      </c>
      <c r="AB126" s="339">
        <v>0</v>
      </c>
      <c r="AC126" s="339">
        <v>0</v>
      </c>
      <c r="AD126" s="339">
        <v>1</v>
      </c>
      <c r="AE126" s="339">
        <v>0</v>
      </c>
      <c r="AF126" s="339">
        <v>0</v>
      </c>
      <c r="AG126" s="324">
        <v>2</v>
      </c>
      <c r="AH126" s="324"/>
      <c r="AI126" s="401">
        <f t="shared" si="0"/>
        <v>3</v>
      </c>
      <c r="AJ126" s="401"/>
      <c r="AK126" s="326"/>
    </row>
    <row r="127" spans="1:38" ht="20.25">
      <c r="B127" s="334"/>
      <c r="D127" s="334"/>
      <c r="E127" s="335"/>
      <c r="F127" s="335"/>
      <c r="G127" s="336"/>
      <c r="H127" s="334"/>
      <c r="J127" s="334"/>
      <c r="L127" s="334"/>
      <c r="M127" s="244"/>
      <c r="N127" s="334"/>
      <c r="P127" s="334"/>
      <c r="T127" s="1"/>
      <c r="U127" s="337" t="s">
        <v>1735</v>
      </c>
      <c r="V127" s="338">
        <v>0</v>
      </c>
      <c r="W127" s="338">
        <v>0</v>
      </c>
      <c r="X127" s="338">
        <v>0</v>
      </c>
      <c r="Y127" s="338">
        <v>0</v>
      </c>
      <c r="Z127" s="338">
        <v>1</v>
      </c>
      <c r="AA127" s="338">
        <v>0</v>
      </c>
      <c r="AB127" s="339">
        <v>0</v>
      </c>
      <c r="AC127" s="339">
        <v>4</v>
      </c>
      <c r="AD127" s="339">
        <v>0</v>
      </c>
      <c r="AE127" s="339">
        <v>1</v>
      </c>
      <c r="AF127" s="339">
        <v>1</v>
      </c>
      <c r="AG127" s="324">
        <v>0</v>
      </c>
      <c r="AH127" s="324">
        <v>1</v>
      </c>
      <c r="AI127" s="401">
        <f t="shared" si="0"/>
        <v>8</v>
      </c>
      <c r="AJ127" s="401"/>
      <c r="AK127" s="326"/>
    </row>
    <row r="128" spans="1:38" ht="20.25">
      <c r="B128" s="334"/>
      <c r="D128" s="334"/>
      <c r="E128" s="335"/>
      <c r="F128" s="335"/>
      <c r="G128" s="336"/>
      <c r="H128" s="334"/>
      <c r="J128" s="334"/>
      <c r="L128" s="334"/>
      <c r="M128" s="244"/>
      <c r="N128" s="334"/>
      <c r="P128" s="334"/>
      <c r="T128" s="1"/>
      <c r="U128" s="337" t="s">
        <v>84</v>
      </c>
      <c r="V128" s="338">
        <v>0</v>
      </c>
      <c r="W128" s="338">
        <v>0</v>
      </c>
      <c r="X128" s="338">
        <v>0</v>
      </c>
      <c r="Y128" s="338">
        <v>0</v>
      </c>
      <c r="Z128" s="338">
        <v>0</v>
      </c>
      <c r="AA128" s="338">
        <v>0</v>
      </c>
      <c r="AB128" s="339">
        <v>0</v>
      </c>
      <c r="AC128" s="339">
        <v>0</v>
      </c>
      <c r="AD128" s="339">
        <v>1</v>
      </c>
      <c r="AE128" s="339">
        <v>1</v>
      </c>
      <c r="AF128" s="339">
        <v>1</v>
      </c>
      <c r="AG128" s="324">
        <v>1</v>
      </c>
      <c r="AH128" s="324"/>
      <c r="AI128" s="401">
        <f t="shared" si="0"/>
        <v>4</v>
      </c>
      <c r="AJ128" s="401"/>
      <c r="AK128" s="326"/>
    </row>
    <row r="129" spans="1:41" ht="20.25">
      <c r="B129" s="334"/>
      <c r="D129" s="334"/>
      <c r="E129" s="335"/>
      <c r="F129" s="335"/>
      <c r="G129" s="336"/>
      <c r="H129" s="334"/>
      <c r="J129" s="334"/>
      <c r="L129" s="334"/>
      <c r="M129" s="244"/>
      <c r="N129" s="334"/>
      <c r="P129" s="334"/>
      <c r="T129" s="1"/>
      <c r="U129" s="337" t="s">
        <v>673</v>
      </c>
      <c r="V129" s="338">
        <v>1</v>
      </c>
      <c r="W129" s="338">
        <v>1</v>
      </c>
      <c r="X129" s="338">
        <v>3</v>
      </c>
      <c r="Y129" s="338">
        <v>1</v>
      </c>
      <c r="Z129" s="338">
        <v>0</v>
      </c>
      <c r="AA129" s="338">
        <v>2</v>
      </c>
      <c r="AB129" s="339">
        <v>1</v>
      </c>
      <c r="AC129" s="339">
        <v>1</v>
      </c>
      <c r="AD129" s="339">
        <v>1</v>
      </c>
      <c r="AE129" s="339">
        <v>1</v>
      </c>
      <c r="AF129" s="339">
        <v>0</v>
      </c>
      <c r="AG129" s="324">
        <v>1</v>
      </c>
      <c r="AH129" s="324">
        <v>1</v>
      </c>
      <c r="AI129" s="401">
        <f t="shared" si="0"/>
        <v>14</v>
      </c>
      <c r="AJ129" s="401"/>
      <c r="AK129" s="326"/>
    </row>
    <row r="130" spans="1:41" ht="20.25">
      <c r="A130" s="12">
        <v>2021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T130" s="1"/>
      <c r="U130" s="340" t="s">
        <v>1706</v>
      </c>
      <c r="V130" s="341">
        <f t="shared" ref="V130:AE130" si="1">V106+V107+V108+V109+V110+V111+V112+V113+V114+V115+V116+V117+V118+V119+V120+V121+V122+V123+V124+V126+V127+V128+V129</f>
        <v>6</v>
      </c>
      <c r="W130" s="341">
        <f t="shared" si="1"/>
        <v>7</v>
      </c>
      <c r="X130" s="341">
        <f t="shared" si="1"/>
        <v>23</v>
      </c>
      <c r="Y130" s="341">
        <f t="shared" si="1"/>
        <v>18</v>
      </c>
      <c r="Z130" s="341">
        <f t="shared" si="1"/>
        <v>25</v>
      </c>
      <c r="AA130" s="341">
        <f t="shared" si="1"/>
        <v>40</v>
      </c>
      <c r="AB130" s="341">
        <f t="shared" si="1"/>
        <v>26</v>
      </c>
      <c r="AC130" s="341">
        <f t="shared" si="1"/>
        <v>40</v>
      </c>
      <c r="AD130" s="341">
        <f t="shared" si="1"/>
        <v>23</v>
      </c>
      <c r="AE130" s="341">
        <f t="shared" si="1"/>
        <v>40</v>
      </c>
      <c r="AF130" s="342">
        <f>AF106+AF107+AF108+AF109+AF110+AF111+AF112+AF113+AF114+AF115+AF116+AF117+AF118+AF119+AF120+AF121+AF122+AF123+AF124+AF125+AF126+AF127+AF128+AF129</f>
        <v>46</v>
      </c>
      <c r="AG130" s="342">
        <f>AG106+AG107+AG108+AG109+AG110+AG111+AG112+AG113+AG114+AG115+AG116+AG117+AG118+AG119+AG120+AG121+AG122+AG123+AG124+AG125+AG126+AG127+AG128+AG129</f>
        <v>45</v>
      </c>
      <c r="AH130" s="342">
        <f>AH106+AH107+AH108+AH109+AH110+AH111+AH112+AH113+AH114+AH115+AH116+AH117+AH118+AH119+AH120+AH121+AH122+AH123+AH124+AH125+AH126+AH127+AH128+AH129</f>
        <v>28</v>
      </c>
      <c r="AI130" s="401">
        <f t="shared" si="0"/>
        <v>367</v>
      </c>
      <c r="AJ130" s="401"/>
      <c r="AK130" s="254">
        <f>AI106+AI107+AI108+AI109+AI110+AI111+AI112+AI113+AI114+AI115+AI116+AI117+AI118+AI119+AI120+AI121+AI122+AI123+AI124+AI125+AI126+AI127+AI128+AI129</f>
        <v>367</v>
      </c>
    </row>
    <row r="131" spans="1:41" ht="29.25" customHeight="1">
      <c r="A131" s="11" t="s">
        <v>1647</v>
      </c>
      <c r="B131" s="11"/>
      <c r="C131" s="11" t="s">
        <v>1648</v>
      </c>
      <c r="D131" s="11"/>
      <c r="E131" s="11" t="s">
        <v>1649</v>
      </c>
      <c r="F131" s="11"/>
      <c r="G131" s="11" t="s">
        <v>1650</v>
      </c>
      <c r="H131" s="11"/>
      <c r="I131" s="11" t="s">
        <v>13</v>
      </c>
      <c r="J131" s="11"/>
      <c r="K131" s="11" t="s">
        <v>1651</v>
      </c>
      <c r="L131" s="11"/>
      <c r="M131" s="11" t="s">
        <v>14</v>
      </c>
      <c r="N131" s="11"/>
      <c r="O131" s="11" t="s">
        <v>1652</v>
      </c>
      <c r="P131" s="11"/>
      <c r="Q131" s="274" t="s">
        <v>1653</v>
      </c>
      <c r="R131" s="274" t="s">
        <v>1654</v>
      </c>
      <c r="S131" s="343"/>
      <c r="T131" s="402" t="s">
        <v>1736</v>
      </c>
      <c r="U131" s="344" t="s">
        <v>1737</v>
      </c>
      <c r="V131" s="259">
        <v>0</v>
      </c>
      <c r="W131" s="259">
        <v>0</v>
      </c>
      <c r="X131" s="259">
        <v>2</v>
      </c>
      <c r="Y131" s="259">
        <v>1</v>
      </c>
      <c r="Z131" s="259">
        <v>1</v>
      </c>
      <c r="AA131" s="259">
        <v>0</v>
      </c>
      <c r="AB131" s="345">
        <v>4</v>
      </c>
      <c r="AC131" s="345">
        <v>2</v>
      </c>
      <c r="AD131" s="345">
        <v>0</v>
      </c>
      <c r="AE131" s="345">
        <v>1</v>
      </c>
      <c r="AF131" s="345">
        <v>1</v>
      </c>
      <c r="AG131" s="259">
        <v>1</v>
      </c>
      <c r="AH131" s="259">
        <v>2</v>
      </c>
      <c r="AI131" s="403">
        <f t="shared" si="0"/>
        <v>15</v>
      </c>
      <c r="AJ131" s="403"/>
      <c r="AM131" s="404" t="s">
        <v>1738</v>
      </c>
      <c r="AN131" s="404"/>
      <c r="AO131" s="404"/>
    </row>
    <row r="132" spans="1:41" ht="15">
      <c r="A132" s="275"/>
      <c r="B132" s="275"/>
      <c r="C132" s="88" t="s">
        <v>81</v>
      </c>
      <c r="D132" s="148">
        <v>1</v>
      </c>
      <c r="E132" s="275" t="s">
        <v>1656</v>
      </c>
      <c r="F132" s="275">
        <v>1</v>
      </c>
      <c r="G132" s="88" t="s">
        <v>63</v>
      </c>
      <c r="H132" s="148">
        <v>2</v>
      </c>
      <c r="I132" s="276" t="s">
        <v>125</v>
      </c>
      <c r="J132" s="275">
        <v>3</v>
      </c>
      <c r="K132" s="148" t="s">
        <v>34</v>
      </c>
      <c r="L132" s="148">
        <v>33</v>
      </c>
      <c r="M132" s="37" t="s">
        <v>710</v>
      </c>
      <c r="N132" s="275">
        <v>2</v>
      </c>
      <c r="O132" s="133" t="s">
        <v>113</v>
      </c>
      <c r="P132" s="134">
        <v>13</v>
      </c>
      <c r="Q132" s="134">
        <v>0</v>
      </c>
      <c r="R132" s="148"/>
      <c r="S132" s="343"/>
      <c r="T132" s="402"/>
      <c r="U132" s="344" t="s">
        <v>1739</v>
      </c>
      <c r="V132" s="259">
        <v>2</v>
      </c>
      <c r="W132" s="259"/>
      <c r="X132" s="259">
        <v>1</v>
      </c>
      <c r="Y132" s="259">
        <v>5</v>
      </c>
      <c r="Z132" s="259">
        <v>3</v>
      </c>
      <c r="AA132" s="259">
        <v>14</v>
      </c>
      <c r="AB132" s="345">
        <v>11</v>
      </c>
      <c r="AC132" s="345">
        <v>9</v>
      </c>
      <c r="AD132" s="345">
        <v>5</v>
      </c>
      <c r="AE132" s="345">
        <v>9</v>
      </c>
      <c r="AF132" s="345">
        <v>11</v>
      </c>
      <c r="AG132" s="253">
        <v>9</v>
      </c>
      <c r="AH132" s="253">
        <v>6</v>
      </c>
      <c r="AI132" s="403">
        <f t="shared" si="0"/>
        <v>85</v>
      </c>
      <c r="AJ132" s="403"/>
      <c r="AK132" s="326" t="s">
        <v>1714</v>
      </c>
      <c r="AM132" s="278">
        <f>AI131+AI132+AI135+AI136+AI147+AI160+AI169+AI173</f>
        <v>121</v>
      </c>
      <c r="AN132" s="278"/>
      <c r="AO132" s="278">
        <f>AH131+AH132+AH135+AH136+AH147+AH160+AH169+AH173</f>
        <v>9</v>
      </c>
    </row>
    <row r="133" spans="1:41" ht="30">
      <c r="A133" s="275" t="s">
        <v>1657</v>
      </c>
      <c r="B133" s="275">
        <v>32</v>
      </c>
      <c r="C133" s="44" t="s">
        <v>1740</v>
      </c>
      <c r="D133" s="148">
        <v>26</v>
      </c>
      <c r="E133" s="275" t="s">
        <v>1658</v>
      </c>
      <c r="F133" s="275">
        <v>4</v>
      </c>
      <c r="G133" s="44" t="s">
        <v>692</v>
      </c>
      <c r="H133" s="148">
        <v>3</v>
      </c>
      <c r="I133" s="37" t="s">
        <v>1729</v>
      </c>
      <c r="J133" s="275">
        <v>2</v>
      </c>
      <c r="K133" s="148" t="s">
        <v>144</v>
      </c>
      <c r="L133" s="148">
        <v>5</v>
      </c>
      <c r="M133" s="37" t="s">
        <v>1741</v>
      </c>
      <c r="N133" s="275">
        <v>6</v>
      </c>
      <c r="O133" s="92" t="s">
        <v>695</v>
      </c>
      <c r="P133" s="101">
        <v>1</v>
      </c>
      <c r="Q133" s="101">
        <v>0</v>
      </c>
      <c r="R133" s="148"/>
      <c r="T133" s="402"/>
      <c r="U133" s="346" t="s">
        <v>1742</v>
      </c>
      <c r="V133" s="253">
        <v>0</v>
      </c>
      <c r="W133" s="253">
        <v>3</v>
      </c>
      <c r="X133" s="253">
        <v>10</v>
      </c>
      <c r="Y133" s="253">
        <v>1</v>
      </c>
      <c r="Z133" s="253">
        <v>3</v>
      </c>
      <c r="AA133" s="253">
        <v>2</v>
      </c>
      <c r="AB133" s="266">
        <v>1</v>
      </c>
      <c r="AC133" s="266">
        <v>0</v>
      </c>
      <c r="AD133" s="266">
        <v>2</v>
      </c>
      <c r="AE133" s="266">
        <v>3</v>
      </c>
      <c r="AF133" s="266">
        <v>1</v>
      </c>
      <c r="AG133" s="253">
        <v>3</v>
      </c>
      <c r="AH133" s="253">
        <v>0</v>
      </c>
      <c r="AI133" s="403">
        <f t="shared" si="0"/>
        <v>29</v>
      </c>
      <c r="AJ133" s="403"/>
      <c r="AK133" s="326" t="s">
        <v>1719</v>
      </c>
      <c r="AO133" s="254"/>
    </row>
    <row r="134" spans="1:41" ht="15">
      <c r="A134" s="275" t="s">
        <v>1655</v>
      </c>
      <c r="B134" s="275">
        <v>6</v>
      </c>
      <c r="C134" s="88" t="s">
        <v>1106</v>
      </c>
      <c r="D134" s="148">
        <v>8</v>
      </c>
      <c r="E134" s="275" t="s">
        <v>1660</v>
      </c>
      <c r="F134" s="275">
        <v>4</v>
      </c>
      <c r="G134" s="88" t="s">
        <v>71</v>
      </c>
      <c r="H134" s="148">
        <v>5</v>
      </c>
      <c r="I134" s="276" t="s">
        <v>64</v>
      </c>
      <c r="J134" s="275">
        <v>13</v>
      </c>
      <c r="K134" s="148" t="s">
        <v>1661</v>
      </c>
      <c r="L134" s="148">
        <v>1</v>
      </c>
      <c r="M134" s="37" t="s">
        <v>1743</v>
      </c>
      <c r="N134" s="275">
        <v>1</v>
      </c>
      <c r="O134" s="133" t="s">
        <v>66</v>
      </c>
      <c r="P134" s="134">
        <v>1</v>
      </c>
      <c r="Q134" s="347">
        <v>3</v>
      </c>
      <c r="R134" s="348">
        <f>SUM(Q132:Q147)</f>
        <v>85</v>
      </c>
      <c r="T134" s="402"/>
      <c r="U134" s="346" t="s">
        <v>1744</v>
      </c>
      <c r="V134" s="253">
        <v>0</v>
      </c>
      <c r="W134" s="253">
        <v>0</v>
      </c>
      <c r="X134" s="253">
        <v>0</v>
      </c>
      <c r="Y134" s="253">
        <v>0</v>
      </c>
      <c r="Z134" s="253">
        <v>0</v>
      </c>
      <c r="AA134" s="253">
        <v>0</v>
      </c>
      <c r="AB134" s="266">
        <v>1</v>
      </c>
      <c r="AC134" s="266">
        <v>0</v>
      </c>
      <c r="AD134" s="266">
        <v>0</v>
      </c>
      <c r="AE134" s="266">
        <v>0</v>
      </c>
      <c r="AF134" s="266">
        <v>0</v>
      </c>
      <c r="AG134" s="253">
        <v>1</v>
      </c>
      <c r="AH134" s="253">
        <v>0</v>
      </c>
      <c r="AI134" s="403">
        <f t="shared" si="0"/>
        <v>2</v>
      </c>
      <c r="AJ134" s="403"/>
      <c r="AM134" s="404" t="s">
        <v>1745</v>
      </c>
      <c r="AN134" s="404"/>
      <c r="AO134" s="404"/>
    </row>
    <row r="135" spans="1:41" ht="15">
      <c r="A135" s="275"/>
      <c r="B135" s="275"/>
      <c r="C135" s="88" t="s">
        <v>1070</v>
      </c>
      <c r="D135" s="148">
        <v>1</v>
      </c>
      <c r="E135" s="275" t="s">
        <v>1662</v>
      </c>
      <c r="F135" s="275">
        <v>4</v>
      </c>
      <c r="G135" s="88" t="s">
        <v>287</v>
      </c>
      <c r="H135" s="148">
        <v>3</v>
      </c>
      <c r="I135" s="276" t="s">
        <v>354</v>
      </c>
      <c r="J135" s="275">
        <v>1</v>
      </c>
      <c r="K135" s="148"/>
      <c r="L135" s="148"/>
      <c r="M135" s="37" t="s">
        <v>704</v>
      </c>
      <c r="N135" s="275">
        <v>2</v>
      </c>
      <c r="O135" s="133" t="s">
        <v>705</v>
      </c>
      <c r="P135" s="134">
        <v>1</v>
      </c>
      <c r="Q135" s="347">
        <v>21</v>
      </c>
      <c r="R135" s="148"/>
      <c r="T135" s="402"/>
      <c r="U135" s="346" t="s">
        <v>1746</v>
      </c>
      <c r="V135" s="253">
        <v>0</v>
      </c>
      <c r="W135" s="253">
        <v>0</v>
      </c>
      <c r="X135" s="253">
        <v>0</v>
      </c>
      <c r="Y135" s="253">
        <v>0</v>
      </c>
      <c r="Z135" s="253">
        <v>2</v>
      </c>
      <c r="AA135" s="253">
        <v>0</v>
      </c>
      <c r="AB135" s="266">
        <v>0</v>
      </c>
      <c r="AC135" s="266">
        <v>0</v>
      </c>
      <c r="AD135" s="266">
        <v>0</v>
      </c>
      <c r="AE135" s="266">
        <v>0</v>
      </c>
      <c r="AF135" s="266">
        <v>0</v>
      </c>
      <c r="AG135" s="253">
        <v>2</v>
      </c>
      <c r="AH135" s="253">
        <v>0</v>
      </c>
      <c r="AI135" s="403">
        <f t="shared" si="0"/>
        <v>4</v>
      </c>
      <c r="AJ135" s="403"/>
      <c r="AM135" s="278">
        <f>AI133+AI134+AI143+AI168+AI172</f>
        <v>50</v>
      </c>
      <c r="AN135" s="278"/>
      <c r="AO135" s="278">
        <f>AH133+AH134+AH143+AH168+AH172</f>
        <v>2</v>
      </c>
    </row>
    <row r="136" spans="1:41" ht="35.25" customHeight="1">
      <c r="A136" s="275"/>
      <c r="B136" s="275"/>
      <c r="C136" s="88" t="s">
        <v>1747</v>
      </c>
      <c r="D136" s="148">
        <v>1</v>
      </c>
      <c r="E136" s="275" t="s">
        <v>1663</v>
      </c>
      <c r="F136" s="275">
        <v>5</v>
      </c>
      <c r="G136" s="44" t="s">
        <v>644</v>
      </c>
      <c r="H136" s="148">
        <v>3</v>
      </c>
      <c r="I136" s="276" t="s">
        <v>1748</v>
      </c>
      <c r="J136" s="275">
        <v>4</v>
      </c>
      <c r="K136" s="148"/>
      <c r="L136" s="148"/>
      <c r="M136" s="276" t="s">
        <v>736</v>
      </c>
      <c r="N136" s="275">
        <v>1</v>
      </c>
      <c r="O136" s="133" t="s">
        <v>104</v>
      </c>
      <c r="P136" s="134">
        <v>3</v>
      </c>
      <c r="Q136" s="347">
        <v>16</v>
      </c>
      <c r="R136" s="148"/>
      <c r="T136" s="402"/>
      <c r="U136" s="346" t="s">
        <v>1749</v>
      </c>
      <c r="V136" s="253">
        <v>0</v>
      </c>
      <c r="W136" s="253">
        <v>0</v>
      </c>
      <c r="X136" s="253">
        <v>0</v>
      </c>
      <c r="Y136" s="253">
        <v>0</v>
      </c>
      <c r="Z136" s="253">
        <v>0</v>
      </c>
      <c r="AA136" s="253">
        <v>0</v>
      </c>
      <c r="AB136" s="266">
        <v>0</v>
      </c>
      <c r="AC136" s="266">
        <v>1</v>
      </c>
      <c r="AD136" s="266">
        <v>0</v>
      </c>
      <c r="AE136" s="266">
        <v>0</v>
      </c>
      <c r="AF136" s="266">
        <v>0</v>
      </c>
      <c r="AG136" s="253">
        <v>0</v>
      </c>
      <c r="AH136" s="253">
        <v>0</v>
      </c>
      <c r="AI136" s="403">
        <f t="shared" si="0"/>
        <v>1</v>
      </c>
      <c r="AJ136" s="403"/>
      <c r="AO136" s="254"/>
    </row>
    <row r="137" spans="1:41" ht="15">
      <c r="A137" s="275"/>
      <c r="B137" s="275"/>
      <c r="C137" s="88" t="s">
        <v>1678</v>
      </c>
      <c r="D137" s="148">
        <v>1</v>
      </c>
      <c r="E137" s="275" t="s">
        <v>1665</v>
      </c>
      <c r="F137" s="275">
        <v>4</v>
      </c>
      <c r="G137" s="44"/>
      <c r="H137" s="148"/>
      <c r="I137" s="276" t="s">
        <v>456</v>
      </c>
      <c r="J137" s="275">
        <v>1</v>
      </c>
      <c r="K137" s="148"/>
      <c r="L137" s="148"/>
      <c r="M137" s="276" t="s">
        <v>1750</v>
      </c>
      <c r="N137" s="275">
        <v>1</v>
      </c>
      <c r="O137" s="133" t="s">
        <v>246</v>
      </c>
      <c r="P137" s="134">
        <v>1</v>
      </c>
      <c r="Q137" s="134">
        <v>0</v>
      </c>
      <c r="R137" s="148"/>
      <c r="T137" s="402"/>
      <c r="U137" s="346" t="s">
        <v>1750</v>
      </c>
      <c r="V137" s="253">
        <v>0</v>
      </c>
      <c r="W137" s="253">
        <v>0</v>
      </c>
      <c r="X137" s="253">
        <v>0</v>
      </c>
      <c r="Y137" s="253">
        <v>0</v>
      </c>
      <c r="Z137" s="253">
        <v>0</v>
      </c>
      <c r="AA137" s="253">
        <v>0</v>
      </c>
      <c r="AB137" s="266">
        <v>0</v>
      </c>
      <c r="AC137" s="266">
        <v>1</v>
      </c>
      <c r="AD137" s="266">
        <v>0</v>
      </c>
      <c r="AE137" s="266">
        <v>0</v>
      </c>
      <c r="AF137" s="266">
        <v>0</v>
      </c>
      <c r="AG137" s="253">
        <v>0</v>
      </c>
      <c r="AH137" s="253">
        <v>0</v>
      </c>
      <c r="AI137" s="403">
        <f t="shared" si="0"/>
        <v>1</v>
      </c>
      <c r="AJ137" s="403"/>
    </row>
    <row r="138" spans="1:41" ht="60">
      <c r="A138" s="275"/>
      <c r="B138" s="275"/>
      <c r="C138" s="88"/>
      <c r="D138" s="148"/>
      <c r="E138" s="275" t="s">
        <v>30</v>
      </c>
      <c r="F138" s="275">
        <v>6</v>
      </c>
      <c r="G138" s="88" t="s">
        <v>403</v>
      </c>
      <c r="H138" s="148">
        <v>3</v>
      </c>
      <c r="I138" s="276" t="s">
        <v>746</v>
      </c>
      <c r="J138" s="275">
        <v>1</v>
      </c>
      <c r="K138" s="148"/>
      <c r="L138" s="148"/>
      <c r="M138" s="276" t="s">
        <v>1751</v>
      </c>
      <c r="N138" s="275">
        <v>1</v>
      </c>
      <c r="O138" s="133" t="s">
        <v>727</v>
      </c>
      <c r="P138" s="134">
        <v>2</v>
      </c>
      <c r="Q138" s="134">
        <v>0</v>
      </c>
      <c r="R138" s="148"/>
      <c r="T138" s="402"/>
      <c r="U138" s="346" t="s">
        <v>1752</v>
      </c>
      <c r="V138" s="253">
        <v>0</v>
      </c>
      <c r="W138" s="253">
        <v>0</v>
      </c>
      <c r="X138" s="253">
        <v>0</v>
      </c>
      <c r="Y138" s="253">
        <v>0</v>
      </c>
      <c r="Z138" s="253">
        <v>0</v>
      </c>
      <c r="AA138" s="253">
        <v>0</v>
      </c>
      <c r="AB138" s="266">
        <v>0</v>
      </c>
      <c r="AC138" s="266">
        <v>1</v>
      </c>
      <c r="AD138" s="266">
        <v>0</v>
      </c>
      <c r="AE138" s="266">
        <v>0</v>
      </c>
      <c r="AF138" s="266">
        <v>0</v>
      </c>
      <c r="AG138" s="253">
        <v>0</v>
      </c>
      <c r="AH138" s="253">
        <v>0</v>
      </c>
      <c r="AI138" s="403">
        <f t="shared" ref="AI138:AI169" si="2">V138+W138+X138+Y138+Z138+AA138+AB138+AC138+AD138+AE138+AF138+AG138+AH138</f>
        <v>1</v>
      </c>
      <c r="AJ138" s="403"/>
    </row>
    <row r="139" spans="1:41" ht="15">
      <c r="A139" s="275"/>
      <c r="B139" s="275"/>
      <c r="C139" s="88"/>
      <c r="D139" s="148"/>
      <c r="E139" s="275" t="s">
        <v>41</v>
      </c>
      <c r="F139" s="275">
        <v>5</v>
      </c>
      <c r="G139" s="88" t="s">
        <v>1753</v>
      </c>
      <c r="H139" s="148">
        <v>7</v>
      </c>
      <c r="I139" s="276" t="s">
        <v>673</v>
      </c>
      <c r="J139" s="275">
        <v>2</v>
      </c>
      <c r="K139" s="148"/>
      <c r="L139" s="148"/>
      <c r="M139" s="37" t="s">
        <v>670</v>
      </c>
      <c r="N139" s="275">
        <v>2</v>
      </c>
      <c r="O139" s="133" t="s">
        <v>748</v>
      </c>
      <c r="P139" s="134">
        <v>1</v>
      </c>
      <c r="Q139" s="347">
        <v>5</v>
      </c>
      <c r="R139" s="148"/>
      <c r="T139" s="402"/>
      <c r="U139" s="346" t="s">
        <v>1754</v>
      </c>
      <c r="V139" s="253">
        <v>0</v>
      </c>
      <c r="W139" s="253">
        <v>0</v>
      </c>
      <c r="X139" s="253">
        <v>0</v>
      </c>
      <c r="Y139" s="253">
        <v>0</v>
      </c>
      <c r="Z139" s="253">
        <v>0</v>
      </c>
      <c r="AA139" s="253">
        <v>0</v>
      </c>
      <c r="AB139" s="266">
        <v>0</v>
      </c>
      <c r="AC139" s="266">
        <v>1</v>
      </c>
      <c r="AD139" s="266">
        <v>0</v>
      </c>
      <c r="AE139" s="266">
        <v>0</v>
      </c>
      <c r="AF139" s="266">
        <v>0</v>
      </c>
      <c r="AG139" s="253">
        <v>0</v>
      </c>
      <c r="AH139" s="253">
        <v>0</v>
      </c>
      <c r="AI139" s="403">
        <f t="shared" si="2"/>
        <v>1</v>
      </c>
      <c r="AJ139" s="403"/>
    </row>
    <row r="140" spans="1:41" ht="15">
      <c r="A140" s="275"/>
      <c r="B140" s="275"/>
      <c r="C140" s="88"/>
      <c r="D140" s="148"/>
      <c r="E140" s="275" t="s">
        <v>56</v>
      </c>
      <c r="F140" s="275">
        <v>3</v>
      </c>
      <c r="G140" s="88" t="s">
        <v>845</v>
      </c>
      <c r="H140" s="148">
        <v>1</v>
      </c>
      <c r="I140" s="276" t="s">
        <v>1723</v>
      </c>
      <c r="J140" s="275">
        <v>4</v>
      </c>
      <c r="K140" s="148"/>
      <c r="L140" s="148"/>
      <c r="M140" s="37" t="s">
        <v>1755</v>
      </c>
      <c r="N140" s="275">
        <v>2</v>
      </c>
      <c r="O140" s="133" t="s">
        <v>1756</v>
      </c>
      <c r="P140" s="134">
        <v>1</v>
      </c>
      <c r="Q140" s="347">
        <v>11</v>
      </c>
      <c r="R140" s="148"/>
      <c r="T140" s="402"/>
      <c r="U140" s="346" t="s">
        <v>1757</v>
      </c>
      <c r="V140" s="253">
        <v>0</v>
      </c>
      <c r="W140" s="253">
        <v>0</v>
      </c>
      <c r="X140" s="253">
        <v>0</v>
      </c>
      <c r="Y140" s="253">
        <v>0</v>
      </c>
      <c r="Z140" s="253">
        <v>0</v>
      </c>
      <c r="AA140" s="253">
        <v>0</v>
      </c>
      <c r="AB140" s="266">
        <v>0</v>
      </c>
      <c r="AC140" s="266">
        <v>1</v>
      </c>
      <c r="AD140" s="266">
        <v>0</v>
      </c>
      <c r="AE140" s="266">
        <v>0</v>
      </c>
      <c r="AF140" s="266">
        <v>0</v>
      </c>
      <c r="AG140" s="253">
        <v>0</v>
      </c>
      <c r="AH140" s="253">
        <v>0</v>
      </c>
      <c r="AI140" s="403">
        <f t="shared" si="2"/>
        <v>1</v>
      </c>
      <c r="AJ140" s="403"/>
    </row>
    <row r="141" spans="1:41" ht="15">
      <c r="A141" s="275"/>
      <c r="B141" s="275"/>
      <c r="C141" s="88" t="s">
        <v>856</v>
      </c>
      <c r="D141" s="148">
        <v>1</v>
      </c>
      <c r="E141" s="275" t="s">
        <v>70</v>
      </c>
      <c r="F141" s="275">
        <v>3</v>
      </c>
      <c r="G141" s="88"/>
      <c r="H141" s="148"/>
      <c r="I141" s="276" t="s">
        <v>776</v>
      </c>
      <c r="J141" s="275">
        <v>1</v>
      </c>
      <c r="K141" s="148"/>
      <c r="L141" s="148"/>
      <c r="M141" s="37" t="s">
        <v>757</v>
      </c>
      <c r="N141" s="275">
        <v>1</v>
      </c>
      <c r="O141" s="133" t="s">
        <v>1758</v>
      </c>
      <c r="P141" s="134">
        <v>1</v>
      </c>
      <c r="Q141" s="347">
        <v>12</v>
      </c>
      <c r="R141" s="148"/>
      <c r="T141" s="402"/>
      <c r="U141" s="346" t="s">
        <v>1759</v>
      </c>
      <c r="V141" s="253">
        <v>0</v>
      </c>
      <c r="W141" s="253">
        <v>1</v>
      </c>
      <c r="X141" s="253">
        <v>0</v>
      </c>
      <c r="Y141" s="253">
        <v>0</v>
      </c>
      <c r="Z141" s="253">
        <v>0</v>
      </c>
      <c r="AA141" s="253">
        <v>0</v>
      </c>
      <c r="AB141" s="266">
        <v>0</v>
      </c>
      <c r="AC141" s="266">
        <v>1</v>
      </c>
      <c r="AD141" s="266">
        <v>0</v>
      </c>
      <c r="AE141" s="266">
        <v>0</v>
      </c>
      <c r="AF141" s="266">
        <v>0</v>
      </c>
      <c r="AG141" s="253">
        <v>0</v>
      </c>
      <c r="AH141" s="253">
        <v>0</v>
      </c>
      <c r="AI141" s="403">
        <f t="shared" si="2"/>
        <v>2</v>
      </c>
      <c r="AJ141" s="403"/>
    </row>
    <row r="142" spans="1:41" ht="15">
      <c r="A142" s="275"/>
      <c r="B142" s="275"/>
      <c r="C142" s="88"/>
      <c r="D142" s="148"/>
      <c r="E142" s="275"/>
      <c r="F142" s="275"/>
      <c r="G142" s="88"/>
      <c r="H142" s="148"/>
      <c r="I142" s="276" t="s">
        <v>790</v>
      </c>
      <c r="J142" s="275">
        <v>1</v>
      </c>
      <c r="K142" s="148"/>
      <c r="L142" s="148"/>
      <c r="M142" s="37" t="s">
        <v>240</v>
      </c>
      <c r="N142" s="275">
        <v>8</v>
      </c>
      <c r="O142" s="133" t="s">
        <v>732</v>
      </c>
      <c r="P142" s="134">
        <v>1</v>
      </c>
      <c r="Q142" s="134">
        <v>0</v>
      </c>
      <c r="R142" s="148"/>
      <c r="T142" s="402"/>
      <c r="U142" s="346" t="s">
        <v>1760</v>
      </c>
      <c r="V142" s="253">
        <v>0</v>
      </c>
      <c r="W142" s="253">
        <v>0</v>
      </c>
      <c r="X142" s="253">
        <v>0</v>
      </c>
      <c r="Y142" s="253">
        <v>0</v>
      </c>
      <c r="Z142" s="253">
        <v>0</v>
      </c>
      <c r="AA142" s="253">
        <v>0</v>
      </c>
      <c r="AB142" s="266">
        <v>1</v>
      </c>
      <c r="AC142" s="266">
        <v>1</v>
      </c>
      <c r="AD142" s="266">
        <v>0</v>
      </c>
      <c r="AE142" s="266">
        <v>0</v>
      </c>
      <c r="AF142" s="266">
        <v>0</v>
      </c>
      <c r="AG142" s="253">
        <v>0</v>
      </c>
      <c r="AH142" s="253">
        <v>0</v>
      </c>
      <c r="AI142" s="403">
        <f t="shared" si="2"/>
        <v>2</v>
      </c>
      <c r="AJ142" s="403"/>
    </row>
    <row r="143" spans="1:41" ht="15">
      <c r="A143" s="275"/>
      <c r="B143" s="275"/>
      <c r="C143" s="88"/>
      <c r="D143" s="148"/>
      <c r="E143" s="275"/>
      <c r="F143" s="275"/>
      <c r="G143" s="88" t="s">
        <v>1761</v>
      </c>
      <c r="H143" s="148">
        <v>1</v>
      </c>
      <c r="I143" s="276" t="s">
        <v>176</v>
      </c>
      <c r="J143" s="275">
        <v>1</v>
      </c>
      <c r="K143" s="148"/>
      <c r="L143" s="148"/>
      <c r="M143" s="37" t="s">
        <v>777</v>
      </c>
      <c r="N143" s="275">
        <v>1</v>
      </c>
      <c r="O143" s="133" t="s">
        <v>765</v>
      </c>
      <c r="P143" s="134">
        <v>1</v>
      </c>
      <c r="Q143" s="134">
        <v>14</v>
      </c>
      <c r="R143" s="148"/>
      <c r="T143" s="402"/>
      <c r="U143" s="346" t="s">
        <v>860</v>
      </c>
      <c r="V143" s="253">
        <v>0</v>
      </c>
      <c r="W143" s="253">
        <v>0</v>
      </c>
      <c r="X143" s="253">
        <v>0</v>
      </c>
      <c r="Y143" s="253">
        <v>0</v>
      </c>
      <c r="Z143" s="253">
        <v>0</v>
      </c>
      <c r="AA143" s="253">
        <v>0</v>
      </c>
      <c r="AB143" s="266">
        <v>0</v>
      </c>
      <c r="AC143" s="266">
        <v>1</v>
      </c>
      <c r="AD143" s="266">
        <v>0</v>
      </c>
      <c r="AE143" s="266">
        <v>0</v>
      </c>
      <c r="AF143" s="266">
        <v>0</v>
      </c>
      <c r="AG143" s="253">
        <v>0</v>
      </c>
      <c r="AH143" s="253">
        <v>0</v>
      </c>
      <c r="AI143" s="403">
        <f t="shared" si="2"/>
        <v>1</v>
      </c>
      <c r="AJ143" s="403"/>
    </row>
    <row r="144" spans="1:41" ht="15">
      <c r="A144" s="275"/>
      <c r="B144" s="275"/>
      <c r="C144" s="88"/>
      <c r="D144" s="148"/>
      <c r="E144" s="275"/>
      <c r="F144" s="275"/>
      <c r="G144" s="88"/>
      <c r="H144" s="148"/>
      <c r="I144" s="276" t="s">
        <v>101</v>
      </c>
      <c r="J144" s="275">
        <v>2</v>
      </c>
      <c r="K144" s="148"/>
      <c r="L144" s="148"/>
      <c r="M144" s="37" t="s">
        <v>119</v>
      </c>
      <c r="N144" s="275">
        <v>2</v>
      </c>
      <c r="O144" s="133" t="s">
        <v>842</v>
      </c>
      <c r="P144" s="101">
        <v>1</v>
      </c>
      <c r="Q144" s="134">
        <v>0</v>
      </c>
      <c r="R144" s="148"/>
      <c r="T144" s="402"/>
      <c r="U144" s="346" t="s">
        <v>1762</v>
      </c>
      <c r="V144" s="253">
        <v>0</v>
      </c>
      <c r="W144" s="253">
        <v>0</v>
      </c>
      <c r="X144" s="253">
        <v>0</v>
      </c>
      <c r="Y144" s="253">
        <v>0</v>
      </c>
      <c r="Z144" s="253">
        <v>0</v>
      </c>
      <c r="AA144" s="253">
        <v>0</v>
      </c>
      <c r="AB144" s="266">
        <v>0</v>
      </c>
      <c r="AC144" s="266">
        <v>0</v>
      </c>
      <c r="AD144" s="266">
        <v>0</v>
      </c>
      <c r="AE144" s="266">
        <v>1</v>
      </c>
      <c r="AF144" s="266">
        <v>0</v>
      </c>
      <c r="AG144" s="253">
        <v>0</v>
      </c>
      <c r="AH144" s="253">
        <v>0</v>
      </c>
      <c r="AI144" s="403">
        <f t="shared" si="2"/>
        <v>1</v>
      </c>
      <c r="AJ144" s="403"/>
    </row>
    <row r="145" spans="1:36" ht="30">
      <c r="A145" s="275"/>
      <c r="B145" s="275"/>
      <c r="C145" s="88"/>
      <c r="D145" s="148"/>
      <c r="E145" s="275"/>
      <c r="F145" s="275"/>
      <c r="G145" s="88" t="s">
        <v>787</v>
      </c>
      <c r="H145" s="148">
        <v>1</v>
      </c>
      <c r="I145" s="276" t="s">
        <v>817</v>
      </c>
      <c r="J145" s="275">
        <v>1</v>
      </c>
      <c r="K145" s="148"/>
      <c r="L145" s="148"/>
      <c r="M145" s="37" t="s">
        <v>731</v>
      </c>
      <c r="N145" s="275">
        <v>1</v>
      </c>
      <c r="O145" s="133" t="s">
        <v>261</v>
      </c>
      <c r="P145" s="134">
        <v>1</v>
      </c>
      <c r="Q145" s="347">
        <v>3</v>
      </c>
      <c r="R145" s="148"/>
      <c r="T145" s="402"/>
      <c r="U145" s="346" t="s">
        <v>871</v>
      </c>
      <c r="V145" s="253">
        <v>0</v>
      </c>
      <c r="W145" s="253">
        <v>0</v>
      </c>
      <c r="X145" s="253">
        <v>0</v>
      </c>
      <c r="Y145" s="253">
        <v>0</v>
      </c>
      <c r="Z145" s="253">
        <v>0</v>
      </c>
      <c r="AA145" s="253">
        <v>0</v>
      </c>
      <c r="AB145" s="266">
        <v>0</v>
      </c>
      <c r="AC145" s="266">
        <v>0</v>
      </c>
      <c r="AD145" s="266">
        <v>1</v>
      </c>
      <c r="AE145" s="266">
        <v>0</v>
      </c>
      <c r="AF145" s="266">
        <v>0</v>
      </c>
      <c r="AG145" s="253">
        <v>0</v>
      </c>
      <c r="AH145" s="253">
        <v>0</v>
      </c>
      <c r="AI145" s="403">
        <f t="shared" si="2"/>
        <v>1</v>
      </c>
      <c r="AJ145" s="403"/>
    </row>
    <row r="146" spans="1:36" ht="15">
      <c r="A146" s="275"/>
      <c r="B146" s="275"/>
      <c r="C146" s="88"/>
      <c r="D146" s="148"/>
      <c r="E146" s="275"/>
      <c r="F146" s="275"/>
      <c r="G146" s="88" t="s">
        <v>135</v>
      </c>
      <c r="H146" s="148">
        <v>3</v>
      </c>
      <c r="I146" s="276"/>
      <c r="J146" s="275"/>
      <c r="K146" s="148"/>
      <c r="L146" s="148"/>
      <c r="M146" s="37" t="s">
        <v>1757</v>
      </c>
      <c r="N146" s="275">
        <v>1</v>
      </c>
      <c r="O146" s="133" t="s">
        <v>803</v>
      </c>
      <c r="P146" s="134">
        <v>1</v>
      </c>
      <c r="Q146" s="134">
        <v>0</v>
      </c>
      <c r="R146" s="148"/>
      <c r="T146" s="402"/>
      <c r="U146" s="346" t="s">
        <v>1763</v>
      </c>
      <c r="V146" s="253">
        <v>0</v>
      </c>
      <c r="W146" s="253">
        <v>0</v>
      </c>
      <c r="X146" s="253">
        <v>0</v>
      </c>
      <c r="Y146" s="253">
        <v>0</v>
      </c>
      <c r="Z146" s="253">
        <v>0</v>
      </c>
      <c r="AA146" s="253">
        <v>0</v>
      </c>
      <c r="AB146" s="266">
        <v>0</v>
      </c>
      <c r="AC146" s="266">
        <v>0</v>
      </c>
      <c r="AD146" s="266">
        <v>1</v>
      </c>
      <c r="AE146" s="266">
        <v>1</v>
      </c>
      <c r="AF146" s="266">
        <v>0</v>
      </c>
      <c r="AG146" s="253">
        <v>0</v>
      </c>
      <c r="AH146" s="253">
        <v>0</v>
      </c>
      <c r="AI146" s="403">
        <f t="shared" si="2"/>
        <v>2</v>
      </c>
      <c r="AJ146" s="403"/>
    </row>
    <row r="147" spans="1:36" ht="30">
      <c r="A147" s="275"/>
      <c r="B147" s="275"/>
      <c r="C147" s="88"/>
      <c r="D147" s="148"/>
      <c r="E147" s="275"/>
      <c r="F147" s="275"/>
      <c r="G147" s="88" t="s">
        <v>794</v>
      </c>
      <c r="H147" s="148">
        <v>1</v>
      </c>
      <c r="I147" s="276" t="s">
        <v>846</v>
      </c>
      <c r="J147" s="275">
        <v>1</v>
      </c>
      <c r="K147" s="148"/>
      <c r="L147" s="148"/>
      <c r="M147" s="37" t="s">
        <v>1764</v>
      </c>
      <c r="N147" s="275">
        <v>1</v>
      </c>
      <c r="O147" s="133" t="s">
        <v>791</v>
      </c>
      <c r="P147" s="134">
        <v>2</v>
      </c>
      <c r="Q147" s="134">
        <v>0</v>
      </c>
      <c r="R147" s="148"/>
      <c r="T147" s="402"/>
      <c r="U147" s="346" t="s">
        <v>1765</v>
      </c>
      <c r="V147" s="253">
        <v>0</v>
      </c>
      <c r="W147" s="253">
        <v>0</v>
      </c>
      <c r="X147" s="253">
        <v>0</v>
      </c>
      <c r="Y147" s="253">
        <v>0</v>
      </c>
      <c r="Z147" s="253">
        <v>1</v>
      </c>
      <c r="AA147" s="253">
        <v>0</v>
      </c>
      <c r="AB147" s="266">
        <v>0</v>
      </c>
      <c r="AC147" s="266">
        <v>0</v>
      </c>
      <c r="AD147" s="266">
        <v>0</v>
      </c>
      <c r="AE147" s="266">
        <v>0</v>
      </c>
      <c r="AF147" s="266">
        <v>1</v>
      </c>
      <c r="AG147" s="253">
        <v>0</v>
      </c>
      <c r="AH147" s="253">
        <v>1</v>
      </c>
      <c r="AI147" s="403">
        <f t="shared" si="2"/>
        <v>3</v>
      </c>
      <c r="AJ147" s="403"/>
    </row>
    <row r="148" spans="1:36" ht="15">
      <c r="A148" s="275"/>
      <c r="B148" s="275"/>
      <c r="C148" s="88"/>
      <c r="D148" s="148"/>
      <c r="E148" s="275"/>
      <c r="F148" s="275"/>
      <c r="G148" s="88" t="s">
        <v>1576</v>
      </c>
      <c r="H148" s="148">
        <v>1</v>
      </c>
      <c r="I148" s="276"/>
      <c r="J148" s="275"/>
      <c r="K148" s="148"/>
      <c r="L148" s="148"/>
      <c r="M148" s="37" t="s">
        <v>1766</v>
      </c>
      <c r="N148" s="275">
        <v>1</v>
      </c>
      <c r="O148" s="133" t="s">
        <v>173</v>
      </c>
      <c r="P148" s="134">
        <v>1</v>
      </c>
      <c r="Q148" s="134">
        <v>0</v>
      </c>
      <c r="R148" s="148"/>
      <c r="T148" s="402"/>
      <c r="U148" s="346" t="s">
        <v>1538</v>
      </c>
      <c r="V148" s="253">
        <v>0</v>
      </c>
      <c r="W148" s="253">
        <v>0</v>
      </c>
      <c r="X148" s="253">
        <v>0</v>
      </c>
      <c r="Y148" s="253">
        <v>0</v>
      </c>
      <c r="Z148" s="253">
        <v>0</v>
      </c>
      <c r="AA148" s="253">
        <v>0</v>
      </c>
      <c r="AB148" s="266">
        <v>0</v>
      </c>
      <c r="AC148" s="266">
        <v>0</v>
      </c>
      <c r="AD148" s="266">
        <v>2</v>
      </c>
      <c r="AE148" s="266">
        <v>0</v>
      </c>
      <c r="AF148" s="266">
        <v>0</v>
      </c>
      <c r="AG148" s="253">
        <v>0</v>
      </c>
      <c r="AH148" s="253">
        <v>2</v>
      </c>
      <c r="AI148" s="403">
        <f t="shared" si="2"/>
        <v>4</v>
      </c>
      <c r="AJ148" s="403"/>
    </row>
    <row r="149" spans="1:36" ht="30">
      <c r="A149" s="275"/>
      <c r="B149" s="275"/>
      <c r="C149" s="88"/>
      <c r="D149" s="148"/>
      <c r="E149" s="275"/>
      <c r="F149" s="275"/>
      <c r="G149" s="88"/>
      <c r="H149" s="148"/>
      <c r="I149" s="276"/>
      <c r="J149" s="275"/>
      <c r="K149" s="148"/>
      <c r="L149" s="148"/>
      <c r="M149" s="37" t="s">
        <v>860</v>
      </c>
      <c r="N149" s="275">
        <v>1</v>
      </c>
      <c r="O149" s="133" t="s">
        <v>825</v>
      </c>
      <c r="P149" s="134">
        <v>1</v>
      </c>
      <c r="Q149" s="134"/>
      <c r="R149" s="148"/>
      <c r="T149" s="402"/>
      <c r="U149" s="346" t="s">
        <v>1767</v>
      </c>
      <c r="V149" s="253">
        <v>0</v>
      </c>
      <c r="W149" s="253">
        <v>0</v>
      </c>
      <c r="X149" s="253">
        <v>0</v>
      </c>
      <c r="Y149" s="253">
        <v>0</v>
      </c>
      <c r="Z149" s="253">
        <v>0</v>
      </c>
      <c r="AA149" s="253">
        <v>0</v>
      </c>
      <c r="AB149" s="266">
        <v>0</v>
      </c>
      <c r="AC149" s="266">
        <v>1</v>
      </c>
      <c r="AD149" s="266">
        <v>0</v>
      </c>
      <c r="AE149" s="266">
        <v>0</v>
      </c>
      <c r="AF149" s="266">
        <v>0</v>
      </c>
      <c r="AG149" s="253">
        <v>0</v>
      </c>
      <c r="AH149" s="253">
        <v>0</v>
      </c>
      <c r="AI149" s="403">
        <f t="shared" si="2"/>
        <v>1</v>
      </c>
      <c r="AJ149" s="403"/>
    </row>
    <row r="150" spans="1:36" ht="30">
      <c r="A150" s="275"/>
      <c r="B150" s="275"/>
      <c r="C150" s="88"/>
      <c r="D150" s="148"/>
      <c r="E150" s="275"/>
      <c r="F150" s="275"/>
      <c r="G150" s="88" t="s">
        <v>57</v>
      </c>
      <c r="H150" s="148">
        <v>5</v>
      </c>
      <c r="I150" s="276" t="s">
        <v>1107</v>
      </c>
      <c r="J150" s="275">
        <v>1</v>
      </c>
      <c r="K150" s="148"/>
      <c r="L150" s="148"/>
      <c r="M150" s="37" t="s">
        <v>1768</v>
      </c>
      <c r="N150" s="275">
        <v>1</v>
      </c>
      <c r="O150" s="133" t="s">
        <v>784</v>
      </c>
      <c r="P150" s="134">
        <v>1</v>
      </c>
      <c r="Q150" s="134">
        <v>0</v>
      </c>
      <c r="R150" s="148"/>
      <c r="T150" s="402"/>
      <c r="U150" s="346" t="s">
        <v>1769</v>
      </c>
      <c r="V150" s="253">
        <v>0</v>
      </c>
      <c r="W150" s="253">
        <v>0</v>
      </c>
      <c r="X150" s="253">
        <v>0</v>
      </c>
      <c r="Y150" s="253">
        <v>0</v>
      </c>
      <c r="Z150" s="253">
        <v>0</v>
      </c>
      <c r="AA150" s="253">
        <v>0</v>
      </c>
      <c r="AB150" s="266">
        <v>0</v>
      </c>
      <c r="AC150" s="266">
        <v>1</v>
      </c>
      <c r="AD150" s="266">
        <v>1</v>
      </c>
      <c r="AE150" s="266">
        <v>0</v>
      </c>
      <c r="AF150" s="266">
        <v>0</v>
      </c>
      <c r="AG150" s="253">
        <v>0</v>
      </c>
      <c r="AH150" s="253">
        <v>0</v>
      </c>
      <c r="AI150" s="403">
        <f t="shared" si="2"/>
        <v>2</v>
      </c>
      <c r="AJ150" s="403"/>
    </row>
    <row r="151" spans="1:36" ht="15">
      <c r="A151" s="275"/>
      <c r="B151" s="275"/>
      <c r="C151" s="88"/>
      <c r="D151" s="148"/>
      <c r="E151" s="275"/>
      <c r="F151" s="275"/>
      <c r="G151" s="88"/>
      <c r="H151" s="148"/>
      <c r="I151" s="276"/>
      <c r="J151" s="275"/>
      <c r="K151" s="148"/>
      <c r="L151" s="148"/>
      <c r="M151" s="37" t="s">
        <v>1770</v>
      </c>
      <c r="N151" s="275">
        <v>1</v>
      </c>
      <c r="O151" s="133" t="s">
        <v>828</v>
      </c>
      <c r="P151" s="134">
        <v>2</v>
      </c>
      <c r="Q151" s="134"/>
      <c r="R151" s="148"/>
      <c r="T151" s="402"/>
      <c r="U151" s="346" t="s">
        <v>1771</v>
      </c>
      <c r="V151" s="253">
        <v>0</v>
      </c>
      <c r="W151" s="253">
        <v>0</v>
      </c>
      <c r="X151" s="253">
        <v>0</v>
      </c>
      <c r="Y151" s="253">
        <v>0</v>
      </c>
      <c r="Z151" s="253">
        <v>0</v>
      </c>
      <c r="AA151" s="253">
        <v>0</v>
      </c>
      <c r="AB151" s="266">
        <v>0</v>
      </c>
      <c r="AC151" s="266">
        <v>1</v>
      </c>
      <c r="AD151" s="266">
        <v>0</v>
      </c>
      <c r="AE151" s="266">
        <v>0</v>
      </c>
      <c r="AF151" s="266">
        <v>0</v>
      </c>
      <c r="AG151" s="253">
        <v>0</v>
      </c>
      <c r="AH151" s="253">
        <v>0</v>
      </c>
      <c r="AI151" s="403">
        <f t="shared" si="2"/>
        <v>1</v>
      </c>
      <c r="AJ151" s="403"/>
    </row>
    <row r="152" spans="1:36" ht="15">
      <c r="A152" s="275"/>
      <c r="B152" s="275"/>
      <c r="C152" s="88"/>
      <c r="D152" s="148"/>
      <c r="E152" s="275"/>
      <c r="F152" s="275"/>
      <c r="G152" s="88"/>
      <c r="H152" s="148"/>
      <c r="I152" s="276"/>
      <c r="J152" s="275"/>
      <c r="K152" s="148"/>
      <c r="L152" s="148"/>
      <c r="M152" s="37" t="s">
        <v>868</v>
      </c>
      <c r="N152" s="275">
        <v>1</v>
      </c>
      <c r="O152" s="133" t="s">
        <v>861</v>
      </c>
      <c r="P152" s="134">
        <v>1</v>
      </c>
      <c r="Q152" s="134"/>
      <c r="R152" s="148"/>
      <c r="T152" s="402"/>
      <c r="U152" s="346" t="s">
        <v>1772</v>
      </c>
      <c r="V152" s="253">
        <v>0</v>
      </c>
      <c r="W152" s="253">
        <v>0</v>
      </c>
      <c r="X152" s="253">
        <v>0</v>
      </c>
      <c r="Y152" s="253">
        <v>0</v>
      </c>
      <c r="Z152" s="253">
        <v>0</v>
      </c>
      <c r="AA152" s="253">
        <v>0</v>
      </c>
      <c r="AB152" s="266">
        <v>0</v>
      </c>
      <c r="AC152" s="266">
        <v>0</v>
      </c>
      <c r="AD152" s="266">
        <v>2</v>
      </c>
      <c r="AE152" s="266">
        <v>0</v>
      </c>
      <c r="AF152" s="266">
        <v>0</v>
      </c>
      <c r="AG152" s="253">
        <v>1</v>
      </c>
      <c r="AH152" s="253">
        <v>1</v>
      </c>
      <c r="AI152" s="403">
        <f t="shared" si="2"/>
        <v>4</v>
      </c>
      <c r="AJ152" s="403"/>
    </row>
    <row r="153" spans="1:36" ht="15">
      <c r="A153" s="275"/>
      <c r="B153" s="275"/>
      <c r="C153" s="88"/>
      <c r="D153" s="148"/>
      <c r="E153" s="275"/>
      <c r="F153" s="275"/>
      <c r="G153" s="88"/>
      <c r="H153" s="148"/>
      <c r="I153" s="276"/>
      <c r="J153" s="275"/>
      <c r="K153" s="148"/>
      <c r="L153" s="148"/>
      <c r="M153" s="37" t="s">
        <v>847</v>
      </c>
      <c r="N153" s="275">
        <v>1</v>
      </c>
      <c r="O153" s="133" t="s">
        <v>848</v>
      </c>
      <c r="P153" s="134">
        <v>1</v>
      </c>
      <c r="Q153" s="134">
        <v>0</v>
      </c>
      <c r="R153" s="148"/>
      <c r="T153" s="402"/>
      <c r="U153" s="346" t="s">
        <v>1773</v>
      </c>
      <c r="V153" s="253">
        <v>0</v>
      </c>
      <c r="W153" s="253">
        <v>0</v>
      </c>
      <c r="X153" s="253">
        <v>0</v>
      </c>
      <c r="Y153" s="253">
        <v>0</v>
      </c>
      <c r="Z153" s="253">
        <v>0</v>
      </c>
      <c r="AA153" s="253">
        <v>0</v>
      </c>
      <c r="AB153" s="266">
        <v>0</v>
      </c>
      <c r="AC153" s="266">
        <v>0</v>
      </c>
      <c r="AD153" s="266">
        <v>1</v>
      </c>
      <c r="AE153" s="266">
        <v>0</v>
      </c>
      <c r="AF153" s="266">
        <v>0</v>
      </c>
      <c r="AG153" s="253">
        <v>0</v>
      </c>
      <c r="AH153" s="253">
        <v>0</v>
      </c>
      <c r="AI153" s="403">
        <f t="shared" si="2"/>
        <v>1</v>
      </c>
      <c r="AJ153" s="403"/>
    </row>
    <row r="154" spans="1:36" ht="15">
      <c r="A154" s="275"/>
      <c r="B154" s="275"/>
      <c r="C154" s="88"/>
      <c r="D154" s="148"/>
      <c r="E154" s="275"/>
      <c r="F154" s="275"/>
      <c r="G154" s="88"/>
      <c r="H154" s="148"/>
      <c r="I154" s="276"/>
      <c r="J154" s="275"/>
      <c r="K154" s="148"/>
      <c r="L154" s="148"/>
      <c r="M154" s="37"/>
      <c r="N154" s="275"/>
      <c r="O154" s="133" t="s">
        <v>864</v>
      </c>
      <c r="P154" s="134">
        <v>1</v>
      </c>
      <c r="Q154" s="134">
        <v>0</v>
      </c>
      <c r="R154" s="148"/>
      <c r="T154" s="402"/>
      <c r="U154" s="346" t="s">
        <v>1774</v>
      </c>
      <c r="V154" s="253">
        <v>0</v>
      </c>
      <c r="W154" s="253">
        <v>0</v>
      </c>
      <c r="X154" s="253">
        <v>0</v>
      </c>
      <c r="Y154" s="253">
        <v>0</v>
      </c>
      <c r="Z154" s="253">
        <v>0</v>
      </c>
      <c r="AA154" s="253">
        <v>0</v>
      </c>
      <c r="AB154" s="266">
        <v>0</v>
      </c>
      <c r="AC154" s="266">
        <v>1</v>
      </c>
      <c r="AD154" s="266">
        <v>0</v>
      </c>
      <c r="AE154" s="266">
        <v>0</v>
      </c>
      <c r="AF154" s="266">
        <v>0</v>
      </c>
      <c r="AG154" s="253">
        <v>1</v>
      </c>
      <c r="AH154" s="253">
        <v>0</v>
      </c>
      <c r="AI154" s="403">
        <f t="shared" si="2"/>
        <v>2</v>
      </c>
      <c r="AJ154" s="403"/>
    </row>
    <row r="155" spans="1:36" ht="15">
      <c r="A155" s="349"/>
      <c r="B155" s="349"/>
      <c r="C155" s="350"/>
      <c r="D155" s="351"/>
      <c r="E155" s="349"/>
      <c r="F155" s="349"/>
      <c r="G155" s="350"/>
      <c r="H155" s="351"/>
      <c r="I155" s="352"/>
      <c r="J155" s="349"/>
      <c r="K155" s="351"/>
      <c r="L155" s="351"/>
      <c r="M155" s="353"/>
      <c r="N155" s="349"/>
      <c r="O155" s="354"/>
      <c r="P155" s="355"/>
      <c r="Q155" s="355"/>
      <c r="R155" s="351"/>
      <c r="T155" s="402"/>
      <c r="U155" s="346" t="s">
        <v>1775</v>
      </c>
      <c r="V155" s="253">
        <v>0</v>
      </c>
      <c r="W155" s="253">
        <v>0</v>
      </c>
      <c r="X155" s="253">
        <v>0</v>
      </c>
      <c r="Y155" s="253">
        <v>0</v>
      </c>
      <c r="Z155" s="253">
        <v>0</v>
      </c>
      <c r="AA155" s="253">
        <v>0</v>
      </c>
      <c r="AB155" s="266">
        <v>0</v>
      </c>
      <c r="AC155" s="266">
        <v>0</v>
      </c>
      <c r="AD155" s="266">
        <v>0</v>
      </c>
      <c r="AE155" s="266">
        <v>0</v>
      </c>
      <c r="AF155" s="266">
        <v>0</v>
      </c>
      <c r="AG155" s="253">
        <v>1</v>
      </c>
      <c r="AH155" s="253">
        <v>0</v>
      </c>
      <c r="AI155" s="403">
        <f t="shared" si="2"/>
        <v>1</v>
      </c>
      <c r="AJ155" s="403"/>
    </row>
    <row r="156" spans="1:36" ht="15">
      <c r="T156" s="402"/>
      <c r="U156" s="346" t="s">
        <v>1776</v>
      </c>
      <c r="V156" s="253">
        <v>0</v>
      </c>
      <c r="W156" s="253">
        <v>0</v>
      </c>
      <c r="X156" s="253">
        <v>0</v>
      </c>
      <c r="Y156" s="253">
        <v>0</v>
      </c>
      <c r="Z156" s="253">
        <v>6</v>
      </c>
      <c r="AA156" s="253">
        <v>2</v>
      </c>
      <c r="AB156" s="266">
        <v>0</v>
      </c>
      <c r="AC156" s="266">
        <v>0</v>
      </c>
      <c r="AD156" s="266">
        <v>0</v>
      </c>
      <c r="AE156" s="266">
        <v>1</v>
      </c>
      <c r="AF156" s="266">
        <v>1</v>
      </c>
      <c r="AG156" s="253">
        <v>0</v>
      </c>
      <c r="AH156" s="253">
        <v>1</v>
      </c>
      <c r="AI156" s="403">
        <f t="shared" si="2"/>
        <v>11</v>
      </c>
      <c r="AJ156" s="403"/>
    </row>
    <row r="157" spans="1:36" ht="15">
      <c r="A157" s="283"/>
      <c r="B157" s="330">
        <f>SUM(B133:B156)</f>
        <v>38</v>
      </c>
      <c r="C157" s="283"/>
      <c r="D157" s="330">
        <f>SUM(D132:D147)</f>
        <v>39</v>
      </c>
      <c r="E157" s="284" t="s">
        <v>1706</v>
      </c>
      <c r="F157" s="330">
        <f>SUM(F132:F147)</f>
        <v>39</v>
      </c>
      <c r="G157" s="332"/>
      <c r="H157" s="330">
        <f>SUM(H132:H154)</f>
        <v>39</v>
      </c>
      <c r="I157" s="283"/>
      <c r="J157" s="330">
        <f>SUM(J132:J154)</f>
        <v>39</v>
      </c>
      <c r="K157" s="283"/>
      <c r="L157" s="330">
        <f>SUM(L132:L134)</f>
        <v>39</v>
      </c>
      <c r="M157" s="333"/>
      <c r="N157" s="330">
        <f>SUM(N132:N154)</f>
        <v>39</v>
      </c>
      <c r="O157" s="283"/>
      <c r="P157" s="288">
        <f>P132+P133+P134+P135+P136+P137+P138+P139+P140+P141+P142+P143+P144+P159+P145+P146+P147+P148+P149+P151+P152+P153+P154</f>
        <v>39</v>
      </c>
      <c r="Q157" s="288">
        <f>Q132+Q133+Q134+Q135+Q136+Q137+Q138+Q139+Q140+Q141+Q143+Q145+Q154</f>
        <v>85</v>
      </c>
      <c r="R157" s="283"/>
      <c r="T157" s="402"/>
      <c r="U157" s="346" t="s">
        <v>1777</v>
      </c>
      <c r="V157" s="253">
        <v>0</v>
      </c>
      <c r="W157" s="253">
        <v>0</v>
      </c>
      <c r="X157" s="253">
        <v>0</v>
      </c>
      <c r="Y157" s="253">
        <v>1</v>
      </c>
      <c r="Z157" s="253">
        <v>0</v>
      </c>
      <c r="AA157" s="253">
        <v>0</v>
      </c>
      <c r="AB157" s="266">
        <v>0</v>
      </c>
      <c r="AC157" s="266">
        <v>0</v>
      </c>
      <c r="AD157" s="266">
        <v>0</v>
      </c>
      <c r="AE157" s="266">
        <v>0</v>
      </c>
      <c r="AF157" s="266">
        <v>0</v>
      </c>
      <c r="AG157" s="253">
        <v>0</v>
      </c>
      <c r="AH157" s="253">
        <v>0</v>
      </c>
      <c r="AI157" s="403">
        <f t="shared" si="2"/>
        <v>1</v>
      </c>
      <c r="AJ157" s="403"/>
    </row>
    <row r="158" spans="1:36" ht="15">
      <c r="T158" s="402"/>
      <c r="U158" s="346" t="s">
        <v>1778</v>
      </c>
      <c r="V158" s="253">
        <v>0</v>
      </c>
      <c r="W158" s="253">
        <v>0</v>
      </c>
      <c r="X158" s="253">
        <v>0</v>
      </c>
      <c r="Y158" s="253">
        <v>0</v>
      </c>
      <c r="Z158" s="253">
        <v>0</v>
      </c>
      <c r="AA158" s="253">
        <v>1</v>
      </c>
      <c r="AB158" s="266">
        <v>1</v>
      </c>
      <c r="AC158" s="266">
        <v>0</v>
      </c>
      <c r="AD158" s="266">
        <v>0</v>
      </c>
      <c r="AE158" s="266">
        <v>0</v>
      </c>
      <c r="AF158" s="266">
        <v>1</v>
      </c>
      <c r="AG158" s="253">
        <v>7</v>
      </c>
      <c r="AH158" s="253">
        <v>0</v>
      </c>
      <c r="AI158" s="403">
        <f t="shared" si="2"/>
        <v>10</v>
      </c>
      <c r="AJ158" s="403"/>
    </row>
    <row r="159" spans="1:36" ht="15">
      <c r="A159" s="12">
        <v>2022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T159" s="402"/>
      <c r="U159" s="346" t="s">
        <v>1779</v>
      </c>
      <c r="V159" s="253">
        <v>0</v>
      </c>
      <c r="W159" s="253">
        <v>0</v>
      </c>
      <c r="X159" s="253">
        <v>0</v>
      </c>
      <c r="Y159" s="253">
        <v>0</v>
      </c>
      <c r="Z159" s="253">
        <v>0</v>
      </c>
      <c r="AA159" s="253">
        <v>0</v>
      </c>
      <c r="AB159" s="266">
        <v>1</v>
      </c>
      <c r="AC159" s="266">
        <v>2</v>
      </c>
      <c r="AD159" s="266">
        <v>0</v>
      </c>
      <c r="AE159" s="266">
        <v>2</v>
      </c>
      <c r="AF159" s="266">
        <v>2</v>
      </c>
      <c r="AG159" s="253">
        <v>0</v>
      </c>
      <c r="AH159" s="253">
        <v>0</v>
      </c>
      <c r="AI159" s="403">
        <f t="shared" si="2"/>
        <v>7</v>
      </c>
      <c r="AJ159" s="403"/>
    </row>
    <row r="160" spans="1:36" ht="29.25" customHeight="1">
      <c r="A160" s="11" t="s">
        <v>1647</v>
      </c>
      <c r="B160" s="11"/>
      <c r="C160" s="11" t="s">
        <v>1648</v>
      </c>
      <c r="D160" s="11"/>
      <c r="E160" s="11" t="s">
        <v>1649</v>
      </c>
      <c r="F160" s="11"/>
      <c r="G160" s="11" t="s">
        <v>1650</v>
      </c>
      <c r="H160" s="11"/>
      <c r="I160" s="11" t="s">
        <v>13</v>
      </c>
      <c r="J160" s="11"/>
      <c r="K160" s="11" t="s">
        <v>1651</v>
      </c>
      <c r="L160" s="11"/>
      <c r="M160" s="11" t="s">
        <v>14</v>
      </c>
      <c r="N160" s="11"/>
      <c r="O160" s="11" t="s">
        <v>1652</v>
      </c>
      <c r="P160" s="11"/>
      <c r="Q160" s="274" t="s">
        <v>1653</v>
      </c>
      <c r="R160" s="274" t="s">
        <v>1654</v>
      </c>
      <c r="T160" s="402"/>
      <c r="U160" s="346" t="s">
        <v>1780</v>
      </c>
      <c r="V160" s="253">
        <v>0</v>
      </c>
      <c r="W160" s="253">
        <v>0</v>
      </c>
      <c r="X160" s="253">
        <v>0</v>
      </c>
      <c r="Y160" s="253">
        <v>0</v>
      </c>
      <c r="Z160" s="253">
        <v>0</v>
      </c>
      <c r="AA160" s="253">
        <v>1</v>
      </c>
      <c r="AB160" s="266">
        <v>0</v>
      </c>
      <c r="AC160" s="266">
        <v>0</v>
      </c>
      <c r="AD160" s="266">
        <v>0</v>
      </c>
      <c r="AE160" s="266">
        <v>0</v>
      </c>
      <c r="AF160" s="266">
        <v>1</v>
      </c>
      <c r="AG160" s="253">
        <v>0</v>
      </c>
      <c r="AH160" s="253">
        <v>0</v>
      </c>
      <c r="AI160" s="403">
        <f t="shared" si="2"/>
        <v>2</v>
      </c>
      <c r="AJ160" s="403"/>
    </row>
    <row r="161" spans="1:37" ht="15">
      <c r="A161" s="275"/>
      <c r="B161" s="275"/>
      <c r="C161" s="44" t="s">
        <v>1740</v>
      </c>
      <c r="D161" s="148">
        <v>15</v>
      </c>
      <c r="E161" s="275" t="s">
        <v>1656</v>
      </c>
      <c r="F161" s="275">
        <v>0</v>
      </c>
      <c r="G161" s="88" t="s">
        <v>1753</v>
      </c>
      <c r="H161" s="148">
        <v>8</v>
      </c>
      <c r="I161" s="276" t="s">
        <v>501</v>
      </c>
      <c r="J161" s="275">
        <v>1</v>
      </c>
      <c r="K161" s="148" t="s">
        <v>34</v>
      </c>
      <c r="L161" s="148">
        <v>21</v>
      </c>
      <c r="M161" s="37" t="s">
        <v>871</v>
      </c>
      <c r="N161" s="275">
        <v>1</v>
      </c>
      <c r="O161" s="133" t="s">
        <v>35</v>
      </c>
      <c r="P161" s="134">
        <v>4</v>
      </c>
      <c r="Q161" s="134">
        <v>0</v>
      </c>
      <c r="R161" s="148">
        <f>Q186</f>
        <v>110</v>
      </c>
      <c r="T161" s="402"/>
      <c r="U161" s="346" t="s">
        <v>1781</v>
      </c>
      <c r="V161" s="253">
        <v>0</v>
      </c>
      <c r="W161" s="253">
        <v>0</v>
      </c>
      <c r="X161" s="253">
        <v>3</v>
      </c>
      <c r="Y161" s="253">
        <v>0</v>
      </c>
      <c r="Z161" s="253">
        <v>0</v>
      </c>
      <c r="AA161" s="253">
        <v>2</v>
      </c>
      <c r="AB161" s="266">
        <v>1</v>
      </c>
      <c r="AC161" s="266">
        <v>0</v>
      </c>
      <c r="AD161" s="266">
        <v>1</v>
      </c>
      <c r="AE161" s="266">
        <v>2</v>
      </c>
      <c r="AF161" s="266">
        <v>0</v>
      </c>
      <c r="AG161" s="253">
        <v>2</v>
      </c>
      <c r="AH161" s="253">
        <v>3</v>
      </c>
      <c r="AI161" s="403">
        <f t="shared" si="2"/>
        <v>14</v>
      </c>
      <c r="AJ161" s="403"/>
    </row>
    <row r="162" spans="1:37" ht="28.5" customHeight="1">
      <c r="A162" s="275" t="s">
        <v>1657</v>
      </c>
      <c r="B162" s="275">
        <v>21</v>
      </c>
      <c r="C162" s="44" t="s">
        <v>1256</v>
      </c>
      <c r="D162" s="148">
        <v>4</v>
      </c>
      <c r="E162" s="275" t="s">
        <v>1658</v>
      </c>
      <c r="F162" s="275">
        <v>1</v>
      </c>
      <c r="G162" s="44" t="s">
        <v>644</v>
      </c>
      <c r="H162" s="148">
        <v>2</v>
      </c>
      <c r="I162" s="37" t="s">
        <v>64</v>
      </c>
      <c r="J162" s="275">
        <v>5</v>
      </c>
      <c r="K162" s="148" t="s">
        <v>144</v>
      </c>
      <c r="L162" s="148">
        <v>1</v>
      </c>
      <c r="M162" s="37" t="s">
        <v>868</v>
      </c>
      <c r="N162" s="275">
        <v>4</v>
      </c>
      <c r="O162" s="92" t="s">
        <v>66</v>
      </c>
      <c r="P162" s="101">
        <v>1</v>
      </c>
      <c r="Q162" s="101">
        <v>1</v>
      </c>
      <c r="R162" s="148"/>
      <c r="T162" s="402"/>
      <c r="U162" s="346" t="s">
        <v>1782</v>
      </c>
      <c r="V162" s="253">
        <v>2</v>
      </c>
      <c r="W162" s="253">
        <v>1</v>
      </c>
      <c r="X162" s="253">
        <v>3</v>
      </c>
      <c r="Y162" s="253">
        <v>2</v>
      </c>
      <c r="Z162" s="253">
        <v>6</v>
      </c>
      <c r="AA162" s="253">
        <v>4</v>
      </c>
      <c r="AB162" s="266">
        <v>2</v>
      </c>
      <c r="AC162" s="266">
        <v>2</v>
      </c>
      <c r="AD162" s="266">
        <v>0</v>
      </c>
      <c r="AE162" s="266">
        <v>3</v>
      </c>
      <c r="AF162" s="266">
        <v>7</v>
      </c>
      <c r="AG162" s="253">
        <v>1</v>
      </c>
      <c r="AH162" s="253">
        <v>1</v>
      </c>
      <c r="AI162" s="403">
        <f t="shared" si="2"/>
        <v>34</v>
      </c>
      <c r="AJ162" s="403"/>
      <c r="AK162" s="326" t="s">
        <v>1728</v>
      </c>
    </row>
    <row r="163" spans="1:37" ht="30">
      <c r="A163" s="275" t="s">
        <v>1783</v>
      </c>
      <c r="B163" s="275">
        <v>2</v>
      </c>
      <c r="C163" s="88" t="s">
        <v>887</v>
      </c>
      <c r="D163" s="148">
        <v>1</v>
      </c>
      <c r="E163" s="275" t="s">
        <v>1660</v>
      </c>
      <c r="F163" s="275">
        <v>1</v>
      </c>
      <c r="G163" s="88" t="s">
        <v>889</v>
      </c>
      <c r="H163" s="148">
        <v>1</v>
      </c>
      <c r="I163" s="276" t="s">
        <v>528</v>
      </c>
      <c r="J163" s="275">
        <v>1</v>
      </c>
      <c r="K163" s="148"/>
      <c r="L163" s="148"/>
      <c r="M163" s="37" t="s">
        <v>1784</v>
      </c>
      <c r="N163" s="275">
        <v>1</v>
      </c>
      <c r="O163" s="133" t="s">
        <v>791</v>
      </c>
      <c r="P163" s="134">
        <v>1</v>
      </c>
      <c r="Q163" s="134">
        <v>5</v>
      </c>
      <c r="R163" s="348"/>
      <c r="T163" s="402"/>
      <c r="U163" s="346" t="s">
        <v>1785</v>
      </c>
      <c r="V163" s="253">
        <v>1</v>
      </c>
      <c r="W163" s="253">
        <v>1</v>
      </c>
      <c r="X163" s="253">
        <v>0</v>
      </c>
      <c r="Y163" s="253">
        <v>0</v>
      </c>
      <c r="Z163" s="253">
        <v>0</v>
      </c>
      <c r="AA163" s="253">
        <v>0</v>
      </c>
      <c r="AB163" s="266">
        <v>0</v>
      </c>
      <c r="AC163" s="266">
        <v>0</v>
      </c>
      <c r="AD163" s="266">
        <v>4</v>
      </c>
      <c r="AE163" s="266">
        <v>0</v>
      </c>
      <c r="AF163" s="266">
        <v>0</v>
      </c>
      <c r="AG163" s="253">
        <v>4</v>
      </c>
      <c r="AH163" s="253">
        <v>0</v>
      </c>
      <c r="AI163" s="403">
        <f t="shared" si="2"/>
        <v>10</v>
      </c>
      <c r="AJ163" s="403"/>
    </row>
    <row r="164" spans="1:37" ht="30">
      <c r="A164" s="275"/>
      <c r="B164" s="275"/>
      <c r="C164" s="88" t="s">
        <v>1786</v>
      </c>
      <c r="D164" s="148">
        <v>1</v>
      </c>
      <c r="E164" s="275" t="s">
        <v>1662</v>
      </c>
      <c r="F164" s="275">
        <v>0</v>
      </c>
      <c r="G164" s="88" t="s">
        <v>403</v>
      </c>
      <c r="H164" s="148">
        <v>2</v>
      </c>
      <c r="I164" s="276" t="s">
        <v>354</v>
      </c>
      <c r="J164" s="275">
        <v>3</v>
      </c>
      <c r="K164" s="148"/>
      <c r="L164" s="148"/>
      <c r="M164" s="37" t="s">
        <v>1787</v>
      </c>
      <c r="N164" s="275">
        <v>2</v>
      </c>
      <c r="O164" s="133" t="s">
        <v>884</v>
      </c>
      <c r="P164" s="134">
        <v>1</v>
      </c>
      <c r="Q164" s="134">
        <v>0</v>
      </c>
      <c r="R164" s="148"/>
      <c r="T164" s="402"/>
      <c r="U164" s="346" t="s">
        <v>1788</v>
      </c>
      <c r="V164" s="253">
        <v>0</v>
      </c>
      <c r="W164" s="253">
        <v>0</v>
      </c>
      <c r="X164" s="253">
        <v>0</v>
      </c>
      <c r="Y164" s="253">
        <v>1</v>
      </c>
      <c r="Z164" s="253">
        <v>0</v>
      </c>
      <c r="AA164" s="253">
        <v>0</v>
      </c>
      <c r="AB164" s="266">
        <v>0</v>
      </c>
      <c r="AC164" s="266">
        <v>0</v>
      </c>
      <c r="AD164" s="266">
        <v>0</v>
      </c>
      <c r="AE164" s="266">
        <v>0</v>
      </c>
      <c r="AF164" s="266">
        <v>1</v>
      </c>
      <c r="AG164" s="253">
        <v>0</v>
      </c>
      <c r="AH164" s="253">
        <v>0</v>
      </c>
      <c r="AI164" s="403">
        <f t="shared" si="2"/>
        <v>2</v>
      </c>
      <c r="AJ164" s="403"/>
    </row>
    <row r="165" spans="1:37" ht="30">
      <c r="A165" s="275"/>
      <c r="B165" s="275"/>
      <c r="C165" s="88" t="s">
        <v>949</v>
      </c>
      <c r="D165" s="148">
        <v>1</v>
      </c>
      <c r="E165" s="275" t="s">
        <v>1663</v>
      </c>
      <c r="F165" s="275">
        <v>3</v>
      </c>
      <c r="G165" s="44" t="s">
        <v>905</v>
      </c>
      <c r="H165" s="148">
        <v>1</v>
      </c>
      <c r="I165" s="276" t="s">
        <v>1789</v>
      </c>
      <c r="J165" s="275">
        <v>1</v>
      </c>
      <c r="K165" s="148"/>
      <c r="L165" s="148"/>
      <c r="M165" s="276" t="s">
        <v>1790</v>
      </c>
      <c r="N165" s="275">
        <v>1</v>
      </c>
      <c r="O165" s="133" t="s">
        <v>628</v>
      </c>
      <c r="P165" s="134">
        <v>2</v>
      </c>
      <c r="Q165" s="134">
        <f>7+7</f>
        <v>14</v>
      </c>
      <c r="R165" s="148"/>
      <c r="T165" s="402"/>
      <c r="U165" s="346" t="s">
        <v>1791</v>
      </c>
      <c r="V165" s="253">
        <v>0</v>
      </c>
      <c r="W165" s="253">
        <v>0</v>
      </c>
      <c r="X165" s="253">
        <v>0</v>
      </c>
      <c r="Y165" s="253">
        <v>1</v>
      </c>
      <c r="Z165" s="253">
        <v>0</v>
      </c>
      <c r="AA165" s="253">
        <v>0</v>
      </c>
      <c r="AB165" s="266">
        <v>0</v>
      </c>
      <c r="AC165" s="266">
        <v>0</v>
      </c>
      <c r="AD165" s="266">
        <v>0</v>
      </c>
      <c r="AE165" s="266">
        <v>0</v>
      </c>
      <c r="AF165" s="266">
        <v>0</v>
      </c>
      <c r="AG165" s="253">
        <v>0</v>
      </c>
      <c r="AH165" s="253">
        <v>0</v>
      </c>
      <c r="AI165" s="403">
        <f t="shared" si="2"/>
        <v>1</v>
      </c>
      <c r="AJ165" s="403"/>
    </row>
    <row r="166" spans="1:37" ht="30">
      <c r="A166" s="275"/>
      <c r="B166" s="275"/>
      <c r="C166" s="88"/>
      <c r="D166" s="148"/>
      <c r="E166" s="275" t="s">
        <v>1664</v>
      </c>
      <c r="F166" s="275">
        <v>3</v>
      </c>
      <c r="G166" s="88" t="s">
        <v>909</v>
      </c>
      <c r="H166" s="148">
        <v>2</v>
      </c>
      <c r="I166" s="276" t="s">
        <v>125</v>
      </c>
      <c r="J166" s="275">
        <v>1</v>
      </c>
      <c r="K166" s="148"/>
      <c r="L166" s="148"/>
      <c r="M166" s="37" t="s">
        <v>1792</v>
      </c>
      <c r="N166" s="275">
        <v>1</v>
      </c>
      <c r="O166" s="133" t="s">
        <v>874</v>
      </c>
      <c r="P166" s="134">
        <v>1</v>
      </c>
      <c r="Q166" s="134">
        <v>0</v>
      </c>
      <c r="R166" s="148"/>
      <c r="T166" s="402"/>
      <c r="U166" s="346" t="s">
        <v>1793</v>
      </c>
      <c r="V166" s="253">
        <v>1</v>
      </c>
      <c r="W166" s="253">
        <v>1</v>
      </c>
      <c r="X166" s="253">
        <v>0</v>
      </c>
      <c r="Y166" s="253">
        <v>0</v>
      </c>
      <c r="Z166" s="253">
        <v>0</v>
      </c>
      <c r="AA166" s="253">
        <v>0</v>
      </c>
      <c r="AB166" s="266">
        <v>1</v>
      </c>
      <c r="AC166" s="266">
        <v>2</v>
      </c>
      <c r="AD166" s="266">
        <v>1</v>
      </c>
      <c r="AE166" s="266">
        <v>5</v>
      </c>
      <c r="AF166" s="266">
        <v>3</v>
      </c>
      <c r="AG166" s="253">
        <v>6</v>
      </c>
      <c r="AH166" s="253">
        <v>3</v>
      </c>
      <c r="AI166" s="403">
        <f t="shared" si="2"/>
        <v>23</v>
      </c>
      <c r="AJ166" s="403"/>
    </row>
    <row r="167" spans="1:37" ht="30">
      <c r="A167" s="275"/>
      <c r="B167" s="275"/>
      <c r="C167" s="88"/>
      <c r="D167" s="148"/>
      <c r="E167" s="275" t="s">
        <v>1665</v>
      </c>
      <c r="F167" s="275">
        <v>3</v>
      </c>
      <c r="G167" s="88" t="s">
        <v>1794</v>
      </c>
      <c r="H167" s="148">
        <v>1</v>
      </c>
      <c r="I167" s="276" t="s">
        <v>1795</v>
      </c>
      <c r="J167" s="275">
        <v>1</v>
      </c>
      <c r="K167" s="148"/>
      <c r="L167" s="148"/>
      <c r="M167" s="37" t="s">
        <v>1796</v>
      </c>
      <c r="N167" s="275">
        <v>2</v>
      </c>
      <c r="O167" s="133" t="s">
        <v>113</v>
      </c>
      <c r="P167" s="134">
        <v>1</v>
      </c>
      <c r="Q167" s="134">
        <v>0</v>
      </c>
      <c r="R167" s="148"/>
      <c r="T167" s="402"/>
      <c r="U167" s="346" t="s">
        <v>1797</v>
      </c>
      <c r="V167" s="253">
        <v>0</v>
      </c>
      <c r="W167" s="253">
        <v>0</v>
      </c>
      <c r="X167" s="253">
        <v>0</v>
      </c>
      <c r="Y167" s="253">
        <v>1</v>
      </c>
      <c r="Z167" s="253">
        <v>0</v>
      </c>
      <c r="AA167" s="253">
        <v>0</v>
      </c>
      <c r="AB167" s="266">
        <v>0</v>
      </c>
      <c r="AC167" s="266">
        <v>0</v>
      </c>
      <c r="AD167" s="266">
        <v>0</v>
      </c>
      <c r="AE167" s="266">
        <v>0</v>
      </c>
      <c r="AF167" s="266">
        <v>0</v>
      </c>
      <c r="AG167" s="253">
        <v>0</v>
      </c>
      <c r="AH167" s="253">
        <v>0</v>
      </c>
      <c r="AI167" s="403">
        <f t="shared" si="2"/>
        <v>1</v>
      </c>
      <c r="AJ167" s="403"/>
    </row>
    <row r="168" spans="1:37" ht="30">
      <c r="A168" s="275"/>
      <c r="B168" s="275"/>
      <c r="C168" s="88"/>
      <c r="D168" s="148"/>
      <c r="E168" s="275" t="s">
        <v>1666</v>
      </c>
      <c r="F168" s="275">
        <v>2</v>
      </c>
      <c r="G168" s="88" t="s">
        <v>938</v>
      </c>
      <c r="H168" s="148">
        <v>1</v>
      </c>
      <c r="I168" s="276" t="s">
        <v>456</v>
      </c>
      <c r="J168" s="275">
        <v>2</v>
      </c>
      <c r="K168" s="148"/>
      <c r="L168" s="148"/>
      <c r="M168" s="37" t="s">
        <v>918</v>
      </c>
      <c r="N168" s="275">
        <v>1</v>
      </c>
      <c r="O168" s="133" t="s">
        <v>173</v>
      </c>
      <c r="P168" s="134">
        <v>1</v>
      </c>
      <c r="Q168" s="134">
        <v>14</v>
      </c>
      <c r="R168" s="148"/>
      <c r="T168" s="402"/>
      <c r="U168" s="346" t="s">
        <v>1798</v>
      </c>
      <c r="V168" s="253">
        <v>0</v>
      </c>
      <c r="W168" s="253">
        <v>0</v>
      </c>
      <c r="X168" s="253">
        <v>0</v>
      </c>
      <c r="Y168" s="253">
        <v>1</v>
      </c>
      <c r="Z168" s="253">
        <v>0</v>
      </c>
      <c r="AA168" s="253">
        <v>0</v>
      </c>
      <c r="AB168" s="266">
        <v>0</v>
      </c>
      <c r="AC168" s="266">
        <v>0</v>
      </c>
      <c r="AD168" s="266">
        <v>0</v>
      </c>
      <c r="AE168" s="266">
        <v>0</v>
      </c>
      <c r="AF168" s="266">
        <v>0</v>
      </c>
      <c r="AG168" s="253">
        <v>0</v>
      </c>
      <c r="AH168" s="253">
        <v>0</v>
      </c>
      <c r="AI168" s="403">
        <f t="shared" si="2"/>
        <v>1</v>
      </c>
      <c r="AJ168" s="403"/>
    </row>
    <row r="169" spans="1:37" ht="45">
      <c r="A169" s="275"/>
      <c r="B169" s="275"/>
      <c r="C169" s="88"/>
      <c r="D169" s="148"/>
      <c r="E169" s="275" t="s">
        <v>1667</v>
      </c>
      <c r="F169" s="275">
        <v>4</v>
      </c>
      <c r="G169" s="88" t="s">
        <v>933</v>
      </c>
      <c r="H169" s="148">
        <v>1</v>
      </c>
      <c r="I169" s="276" t="s">
        <v>84</v>
      </c>
      <c r="J169" s="275">
        <v>1</v>
      </c>
      <c r="K169" s="148"/>
      <c r="L169" s="148"/>
      <c r="M169" s="37" t="s">
        <v>1799</v>
      </c>
      <c r="N169" s="275">
        <v>1</v>
      </c>
      <c r="O169" s="133" t="s">
        <v>120</v>
      </c>
      <c r="P169" s="356">
        <v>1</v>
      </c>
      <c r="Q169" s="134">
        <v>11</v>
      </c>
      <c r="R169" s="148"/>
      <c r="T169" s="402"/>
      <c r="U169" s="346" t="s">
        <v>1800</v>
      </c>
      <c r="V169" s="253">
        <v>0</v>
      </c>
      <c r="W169" s="253">
        <v>0</v>
      </c>
      <c r="X169" s="253">
        <v>0</v>
      </c>
      <c r="Y169" s="253">
        <v>0</v>
      </c>
      <c r="Z169" s="253">
        <v>2</v>
      </c>
      <c r="AA169" s="253">
        <v>2</v>
      </c>
      <c r="AB169" s="266">
        <v>0</v>
      </c>
      <c r="AC169" s="266">
        <v>0</v>
      </c>
      <c r="AD169" s="266">
        <v>0</v>
      </c>
      <c r="AE169" s="266">
        <v>0</v>
      </c>
      <c r="AF169" s="266">
        <v>4</v>
      </c>
      <c r="AG169" s="253">
        <v>0</v>
      </c>
      <c r="AH169" s="253">
        <v>0</v>
      </c>
      <c r="AI169" s="403">
        <f t="shared" si="2"/>
        <v>8</v>
      </c>
      <c r="AJ169" s="403"/>
    </row>
    <row r="170" spans="1:37" ht="15">
      <c r="A170" s="275"/>
      <c r="B170" s="275"/>
      <c r="C170" s="88"/>
      <c r="D170" s="148"/>
      <c r="E170" s="275" t="s">
        <v>1668</v>
      </c>
      <c r="F170" s="275">
        <v>2</v>
      </c>
      <c r="G170" s="88" t="s">
        <v>57</v>
      </c>
      <c r="H170" s="148">
        <v>1</v>
      </c>
      <c r="I170" s="276" t="s">
        <v>1801</v>
      </c>
      <c r="J170" s="275">
        <v>1</v>
      </c>
      <c r="K170" s="148"/>
      <c r="L170" s="148"/>
      <c r="M170" s="37" t="s">
        <v>1802</v>
      </c>
      <c r="N170" s="275">
        <v>1</v>
      </c>
      <c r="O170" s="133" t="s">
        <v>924</v>
      </c>
      <c r="P170" s="134">
        <v>1</v>
      </c>
      <c r="Q170" s="134">
        <v>1</v>
      </c>
      <c r="R170" s="148"/>
      <c r="T170" s="402"/>
      <c r="U170" s="346" t="s">
        <v>1803</v>
      </c>
      <c r="V170" s="253">
        <v>0</v>
      </c>
      <c r="W170" s="253">
        <v>0</v>
      </c>
      <c r="X170" s="253">
        <v>1</v>
      </c>
      <c r="Y170" s="253">
        <v>0</v>
      </c>
      <c r="Z170" s="253">
        <v>0</v>
      </c>
      <c r="AA170" s="253">
        <v>1</v>
      </c>
      <c r="AB170" s="266">
        <v>0</v>
      </c>
      <c r="AC170" s="266">
        <v>6</v>
      </c>
      <c r="AD170" s="266">
        <v>0</v>
      </c>
      <c r="AE170" s="266">
        <v>6</v>
      </c>
      <c r="AF170" s="266">
        <v>0</v>
      </c>
      <c r="AG170" s="253">
        <v>3</v>
      </c>
      <c r="AH170" s="253">
        <v>0</v>
      </c>
      <c r="AI170" s="403">
        <f t="shared" ref="AI170:AI201" si="3">V170+W170+X170+Y170+Z170+AA170+AB170+AC170+AD170+AE170+AF170+AG170+AH170</f>
        <v>17</v>
      </c>
      <c r="AJ170" s="403"/>
      <c r="AK170" s="326" t="s">
        <v>1730</v>
      </c>
    </row>
    <row r="171" spans="1:37" ht="15">
      <c r="A171" s="275"/>
      <c r="B171" s="275"/>
      <c r="C171" s="88"/>
      <c r="D171" s="148"/>
      <c r="E171" s="275" t="s">
        <v>1669</v>
      </c>
      <c r="F171" s="275">
        <v>2</v>
      </c>
      <c r="G171" s="88" t="s">
        <v>955</v>
      </c>
      <c r="H171" s="148">
        <v>1</v>
      </c>
      <c r="I171" s="276" t="s">
        <v>1710</v>
      </c>
      <c r="J171" s="275">
        <v>1</v>
      </c>
      <c r="K171" s="148"/>
      <c r="L171" s="148"/>
      <c r="M171" s="37" t="s">
        <v>1538</v>
      </c>
      <c r="N171" s="275">
        <v>2</v>
      </c>
      <c r="O171" s="133" t="s">
        <v>941</v>
      </c>
      <c r="P171" s="134">
        <v>1</v>
      </c>
      <c r="Q171" s="357">
        <v>2</v>
      </c>
      <c r="R171" s="148"/>
      <c r="T171" s="402"/>
      <c r="U171" s="346" t="s">
        <v>1804</v>
      </c>
      <c r="V171" s="253">
        <v>0</v>
      </c>
      <c r="W171" s="253">
        <v>0</v>
      </c>
      <c r="X171" s="253">
        <v>0</v>
      </c>
      <c r="Y171" s="253">
        <v>1</v>
      </c>
      <c r="Z171" s="253">
        <v>0</v>
      </c>
      <c r="AA171" s="253">
        <v>0</v>
      </c>
      <c r="AB171" s="266">
        <v>0</v>
      </c>
      <c r="AC171" s="266">
        <v>0</v>
      </c>
      <c r="AD171" s="266">
        <v>0</v>
      </c>
      <c r="AE171" s="266">
        <v>0</v>
      </c>
      <c r="AF171" s="266">
        <v>1</v>
      </c>
      <c r="AG171" s="253">
        <v>0</v>
      </c>
      <c r="AH171" s="253">
        <v>1</v>
      </c>
      <c r="AI171" s="403">
        <f t="shared" si="3"/>
        <v>3</v>
      </c>
      <c r="AJ171" s="403"/>
    </row>
    <row r="172" spans="1:37" ht="30">
      <c r="A172" s="275"/>
      <c r="B172" s="275"/>
      <c r="C172" s="88"/>
      <c r="D172" s="148"/>
      <c r="E172" s="275" t="s">
        <v>1670</v>
      </c>
      <c r="F172" s="275">
        <v>1</v>
      </c>
      <c r="G172" s="88" t="s">
        <v>1805</v>
      </c>
      <c r="H172" s="148">
        <v>1</v>
      </c>
      <c r="I172" s="276" t="s">
        <v>1806</v>
      </c>
      <c r="J172" s="275">
        <v>1</v>
      </c>
      <c r="K172" s="148"/>
      <c r="L172" s="148"/>
      <c r="M172" s="37" t="s">
        <v>940</v>
      </c>
      <c r="N172" s="275">
        <v>1</v>
      </c>
      <c r="O172" s="133" t="s">
        <v>929</v>
      </c>
      <c r="P172" s="356">
        <v>1</v>
      </c>
      <c r="Q172" s="134">
        <v>2</v>
      </c>
      <c r="R172" s="358"/>
      <c r="T172" s="402"/>
      <c r="U172" s="346" t="s">
        <v>1807</v>
      </c>
      <c r="V172" s="253">
        <v>0</v>
      </c>
      <c r="W172" s="253">
        <v>0</v>
      </c>
      <c r="X172" s="253">
        <v>1</v>
      </c>
      <c r="Y172" s="253">
        <v>0</v>
      </c>
      <c r="Z172" s="253">
        <v>0</v>
      </c>
      <c r="AA172" s="253">
        <v>7</v>
      </c>
      <c r="AB172" s="266">
        <v>1</v>
      </c>
      <c r="AC172" s="266">
        <v>0</v>
      </c>
      <c r="AD172" s="266">
        <v>0</v>
      </c>
      <c r="AE172" s="266">
        <v>3</v>
      </c>
      <c r="AF172" s="266">
        <v>3</v>
      </c>
      <c r="AG172" s="253">
        <v>0</v>
      </c>
      <c r="AH172" s="253">
        <v>2</v>
      </c>
      <c r="AI172" s="403">
        <f t="shared" si="3"/>
        <v>17</v>
      </c>
      <c r="AJ172" s="403"/>
      <c r="AK172" s="326"/>
    </row>
    <row r="173" spans="1:37" ht="15">
      <c r="A173" s="275"/>
      <c r="B173" s="275"/>
      <c r="C173" s="88"/>
      <c r="D173" s="148"/>
      <c r="E173" s="275"/>
      <c r="F173" s="275"/>
      <c r="G173" s="88"/>
      <c r="H173" s="148"/>
      <c r="I173" s="276" t="s">
        <v>43</v>
      </c>
      <c r="J173" s="275">
        <v>1</v>
      </c>
      <c r="K173" s="148"/>
      <c r="L173" s="148"/>
      <c r="M173" s="37" t="s">
        <v>1808</v>
      </c>
      <c r="N173" s="275">
        <v>1</v>
      </c>
      <c r="O173" s="133" t="s">
        <v>914</v>
      </c>
      <c r="P173" s="359">
        <v>1</v>
      </c>
      <c r="Q173" s="134">
        <v>44</v>
      </c>
      <c r="R173" s="358"/>
      <c r="T173" s="402"/>
      <c r="U173" s="346" t="s">
        <v>1809</v>
      </c>
      <c r="V173" s="253">
        <v>0</v>
      </c>
      <c r="W173" s="253">
        <v>0</v>
      </c>
      <c r="X173" s="253">
        <v>0</v>
      </c>
      <c r="Y173" s="253">
        <v>0</v>
      </c>
      <c r="Z173" s="253">
        <v>0</v>
      </c>
      <c r="AA173" s="253">
        <v>0</v>
      </c>
      <c r="AB173" s="266">
        <v>1</v>
      </c>
      <c r="AC173" s="266">
        <v>1</v>
      </c>
      <c r="AD173" s="266">
        <v>0</v>
      </c>
      <c r="AE173" s="266">
        <v>0</v>
      </c>
      <c r="AF173" s="266">
        <v>1</v>
      </c>
      <c r="AG173" s="253">
        <v>0</v>
      </c>
      <c r="AH173" s="253">
        <v>0</v>
      </c>
      <c r="AI173" s="403">
        <f t="shared" si="3"/>
        <v>3</v>
      </c>
      <c r="AJ173" s="403"/>
    </row>
    <row r="174" spans="1:37" ht="15">
      <c r="A174" s="275"/>
      <c r="B174" s="275"/>
      <c r="C174" s="88"/>
      <c r="D174" s="148"/>
      <c r="E174" s="275"/>
      <c r="F174" s="275"/>
      <c r="G174" s="88"/>
      <c r="H174" s="148"/>
      <c r="I174" s="276" t="s">
        <v>58</v>
      </c>
      <c r="J174" s="275">
        <v>1</v>
      </c>
      <c r="K174" s="148"/>
      <c r="L174" s="148"/>
      <c r="M174" s="37" t="s">
        <v>1810</v>
      </c>
      <c r="N174" s="275">
        <v>1</v>
      </c>
      <c r="O174" s="133" t="s">
        <v>946</v>
      </c>
      <c r="P174" s="356">
        <v>1</v>
      </c>
      <c r="Q174" s="134">
        <v>8</v>
      </c>
      <c r="R174" s="358"/>
      <c r="T174" s="402"/>
      <c r="U174" s="346" t="s">
        <v>1811</v>
      </c>
      <c r="V174" s="253">
        <v>0</v>
      </c>
      <c r="W174" s="253">
        <v>0</v>
      </c>
      <c r="X174" s="253">
        <v>0</v>
      </c>
      <c r="Y174" s="253">
        <v>1</v>
      </c>
      <c r="Z174" s="253">
        <v>0</v>
      </c>
      <c r="AA174" s="253">
        <v>0</v>
      </c>
      <c r="AB174" s="266">
        <v>0</v>
      </c>
      <c r="AC174" s="266">
        <v>0</v>
      </c>
      <c r="AD174" s="266">
        <v>0</v>
      </c>
      <c r="AE174" s="266">
        <v>0</v>
      </c>
      <c r="AF174" s="266">
        <v>1</v>
      </c>
      <c r="AG174" s="253">
        <v>1</v>
      </c>
      <c r="AH174" s="253">
        <v>0</v>
      </c>
      <c r="AI174" s="403">
        <f t="shared" si="3"/>
        <v>3</v>
      </c>
      <c r="AJ174" s="403"/>
    </row>
    <row r="175" spans="1:37" ht="15">
      <c r="A175" s="275"/>
      <c r="B175" s="275"/>
      <c r="C175" s="88"/>
      <c r="D175" s="148"/>
      <c r="E175" s="275"/>
      <c r="F175" s="275"/>
      <c r="G175" s="88"/>
      <c r="H175" s="148"/>
      <c r="I175" s="276" t="s">
        <v>1812</v>
      </c>
      <c r="J175" s="275">
        <v>1</v>
      </c>
      <c r="K175" s="148"/>
      <c r="L175" s="148"/>
      <c r="M175" s="37" t="s">
        <v>960</v>
      </c>
      <c r="N175" s="275">
        <v>1</v>
      </c>
      <c r="O175" s="133" t="s">
        <v>952</v>
      </c>
      <c r="P175" s="356">
        <v>1</v>
      </c>
      <c r="Q175" s="360">
        <v>0</v>
      </c>
      <c r="R175" s="358"/>
      <c r="T175" s="402"/>
      <c r="U175" s="346" t="s">
        <v>906</v>
      </c>
      <c r="V175" s="253">
        <v>0</v>
      </c>
      <c r="W175" s="253">
        <v>0</v>
      </c>
      <c r="X175" s="253">
        <v>0</v>
      </c>
      <c r="Y175" s="253">
        <v>0</v>
      </c>
      <c r="Z175" s="253">
        <v>0</v>
      </c>
      <c r="AA175" s="253">
        <v>0</v>
      </c>
      <c r="AB175" s="266">
        <v>0</v>
      </c>
      <c r="AC175" s="266">
        <v>0</v>
      </c>
      <c r="AD175" s="266">
        <v>1</v>
      </c>
      <c r="AE175" s="266">
        <v>0</v>
      </c>
      <c r="AF175" s="266">
        <v>0</v>
      </c>
      <c r="AG175" s="253">
        <v>0</v>
      </c>
      <c r="AH175" s="253">
        <v>0</v>
      </c>
      <c r="AI175" s="403">
        <f t="shared" si="3"/>
        <v>1</v>
      </c>
      <c r="AJ175" s="403"/>
    </row>
    <row r="176" spans="1:37" ht="15">
      <c r="A176" s="275"/>
      <c r="B176" s="275"/>
      <c r="C176" s="88"/>
      <c r="D176" s="148"/>
      <c r="E176" s="275"/>
      <c r="F176" s="275"/>
      <c r="G176" s="88"/>
      <c r="H176" s="148"/>
      <c r="I176" s="276"/>
      <c r="J176" s="275"/>
      <c r="K176" s="148"/>
      <c r="L176" s="148"/>
      <c r="M176" s="37" t="s">
        <v>1813</v>
      </c>
      <c r="N176" s="275">
        <v>1</v>
      </c>
      <c r="O176" s="133" t="s">
        <v>956</v>
      </c>
      <c r="P176" s="134">
        <v>1</v>
      </c>
      <c r="Q176" s="360">
        <v>3</v>
      </c>
      <c r="R176" s="148"/>
      <c r="T176" s="402"/>
      <c r="U176" s="346" t="s">
        <v>1814</v>
      </c>
      <c r="V176" s="253">
        <v>0</v>
      </c>
      <c r="W176" s="253">
        <v>0</v>
      </c>
      <c r="X176" s="253">
        <v>2</v>
      </c>
      <c r="Y176" s="253">
        <v>2</v>
      </c>
      <c r="Z176" s="253">
        <v>1</v>
      </c>
      <c r="AA176" s="253">
        <v>4</v>
      </c>
      <c r="AB176" s="266">
        <v>0</v>
      </c>
      <c r="AC176" s="266">
        <v>4</v>
      </c>
      <c r="AD176" s="266">
        <v>1</v>
      </c>
      <c r="AE176" s="266">
        <v>3</v>
      </c>
      <c r="AF176" s="266">
        <v>6</v>
      </c>
      <c r="AG176" s="253">
        <v>2</v>
      </c>
      <c r="AH176" s="253">
        <v>5</v>
      </c>
      <c r="AI176" s="403">
        <f t="shared" si="3"/>
        <v>30</v>
      </c>
      <c r="AJ176" s="403"/>
      <c r="AK176" s="326" t="s">
        <v>1722</v>
      </c>
    </row>
    <row r="177" spans="1:37" ht="22.5" customHeight="1">
      <c r="A177" s="275"/>
      <c r="B177" s="275"/>
      <c r="C177" s="88"/>
      <c r="D177" s="148"/>
      <c r="E177" s="275"/>
      <c r="F177" s="275"/>
      <c r="G177" s="88"/>
      <c r="H177" s="148"/>
      <c r="I177" s="276"/>
      <c r="J177" s="275"/>
      <c r="K177" s="148"/>
      <c r="L177" s="148"/>
      <c r="M177" s="37"/>
      <c r="N177" s="275"/>
      <c r="O177" s="133" t="s">
        <v>298</v>
      </c>
      <c r="P177" s="134">
        <v>1</v>
      </c>
      <c r="Q177" s="134">
        <v>5</v>
      </c>
      <c r="R177" s="148"/>
      <c r="T177" s="402"/>
      <c r="U177" s="346" t="s">
        <v>1815</v>
      </c>
      <c r="V177" s="257">
        <f t="shared" ref="V177:AF177" si="4">V131+V132+V133+V134+V135+V136+V137+V138+V139+V140+V141+V142+V143+V144+V145+V146+V147+V148+V149+V150+V151+V152+V153+V154+V156+V157+V158+V159+V160+V161+V162+V163+V164+V165+V166+V167+V168+V169+V170+V171+V172+V173+V174+V175+V176</f>
        <v>6</v>
      </c>
      <c r="W177" s="257">
        <f t="shared" si="4"/>
        <v>7</v>
      </c>
      <c r="X177" s="257">
        <f t="shared" si="4"/>
        <v>23</v>
      </c>
      <c r="Y177" s="257">
        <f t="shared" si="4"/>
        <v>18</v>
      </c>
      <c r="Z177" s="257">
        <f t="shared" si="4"/>
        <v>25</v>
      </c>
      <c r="AA177" s="257">
        <f t="shared" si="4"/>
        <v>40</v>
      </c>
      <c r="AB177" s="257">
        <f t="shared" si="4"/>
        <v>26</v>
      </c>
      <c r="AC177" s="257">
        <f t="shared" si="4"/>
        <v>40</v>
      </c>
      <c r="AD177" s="257">
        <f t="shared" si="4"/>
        <v>23</v>
      </c>
      <c r="AE177" s="257">
        <f t="shared" si="4"/>
        <v>40</v>
      </c>
      <c r="AF177" s="361">
        <f t="shared" si="4"/>
        <v>46</v>
      </c>
      <c r="AG177" s="361">
        <f>AG131+AG132+AG133+AG134+AG135+AG136+AG137+AG138+AG139+AG140+AG141+AG142+AG143+AG144+AG145+AG146+AG147+AG148+AG149+AG150+AG151+AG152+AG153+AG154+AG155+AG156+AG157+AG158+AG159+AG160+AG161+AG162+AG163+AG164+AG165+AG166+AG167+AG168+AG169+AG170+AG171+AG172+AG173+AG174+AG175+AG176</f>
        <v>45</v>
      </c>
      <c r="AH177" s="361">
        <f>AH131+AH132+AH133+AH134+AH135+AH136+AH137+AH138+AH139+AH140+AH141+AH142+AH143+AH144+AH145+AH146+AH147+AH148+AH149+AH150+AH151+AH152+AH153+AH154+AH155+AH156+AH157+AH158+AH159+AH160+AH161+AH162+AH163+AH164+AH165+AH166+AH167+AH168+AH169+AH170+AH171+AH172+AH173+AH174+AH175+AH176</f>
        <v>28</v>
      </c>
      <c r="AI177" s="403">
        <f t="shared" si="3"/>
        <v>367</v>
      </c>
      <c r="AJ177" s="403"/>
      <c r="AK177">
        <f>AI131+AI132+AI133+AI134+AI135+AI136+AI137+AI138+AI139+AI140+AI141+AI142+AI143+AI144+AI145+AI146+AI147+AI148+AI149+AI150+AI151+AI152+AI153+AI154+AI155+AI156+AI157+AI158+AI159+AI160+AI161+AI162+AI163+AI164+AI165+AI166+AI167+AI168+AI169+AI170+AI171+AI172+AI173+AI174+AI175+AI176</f>
        <v>367</v>
      </c>
    </row>
    <row r="178" spans="1:37" ht="20.25">
      <c r="A178" s="275"/>
      <c r="B178" s="275"/>
      <c r="C178" s="88"/>
      <c r="D178" s="148"/>
      <c r="E178" s="275"/>
      <c r="F178" s="275"/>
      <c r="G178" s="88"/>
      <c r="H178" s="148"/>
      <c r="I178" s="276"/>
      <c r="J178" s="275"/>
      <c r="K178" s="148"/>
      <c r="L178" s="148"/>
      <c r="M178" s="37"/>
      <c r="N178" s="275"/>
      <c r="O178" s="133" t="s">
        <v>967</v>
      </c>
      <c r="P178" s="134">
        <v>1</v>
      </c>
      <c r="Q178" s="134">
        <v>0</v>
      </c>
      <c r="R178" s="148"/>
      <c r="T178" s="405" t="s">
        <v>1816</v>
      </c>
      <c r="U178" s="362" t="s">
        <v>574</v>
      </c>
      <c r="V178" s="363">
        <v>1</v>
      </c>
      <c r="W178" s="363">
        <v>1</v>
      </c>
      <c r="X178" s="363">
        <v>7</v>
      </c>
      <c r="Y178" s="363">
        <v>3</v>
      </c>
      <c r="Z178" s="363">
        <v>2</v>
      </c>
      <c r="AA178" s="363">
        <v>5</v>
      </c>
      <c r="AB178" s="282">
        <v>2</v>
      </c>
      <c r="AC178" s="282">
        <v>1</v>
      </c>
      <c r="AD178" s="282">
        <v>1</v>
      </c>
      <c r="AE178" s="282">
        <v>0</v>
      </c>
      <c r="AF178" s="364"/>
      <c r="AG178" s="282"/>
      <c r="AH178" s="282"/>
      <c r="AI178" s="406">
        <f t="shared" ref="AI178:AI212" si="5">V178+W178+X178+Y178+Z178+AA178+AB178+AC178+AD178+AF178</f>
        <v>23</v>
      </c>
      <c r="AJ178" s="406"/>
      <c r="AK178" s="326" t="s">
        <v>1714</v>
      </c>
    </row>
    <row r="179" spans="1:37" ht="20.25">
      <c r="A179" s="278"/>
      <c r="B179" s="278"/>
      <c r="C179" s="365"/>
      <c r="D179" s="278"/>
      <c r="E179" s="278"/>
      <c r="F179" s="278"/>
      <c r="G179" s="365"/>
      <c r="H179" s="278"/>
      <c r="I179" s="366"/>
      <c r="J179" s="278"/>
      <c r="K179" s="278"/>
      <c r="L179" s="278"/>
      <c r="M179" s="329"/>
      <c r="N179" s="278"/>
      <c r="O179" s="366"/>
      <c r="P179" s="367"/>
      <c r="Q179" s="367"/>
      <c r="R179" s="278"/>
      <c r="T179" s="405"/>
      <c r="U179" s="368" t="s">
        <v>403</v>
      </c>
      <c r="V179" s="282">
        <v>0</v>
      </c>
      <c r="W179" s="282">
        <v>0</v>
      </c>
      <c r="X179" s="282">
        <v>0</v>
      </c>
      <c r="Y179" s="282">
        <v>0</v>
      </c>
      <c r="Z179" s="282">
        <v>0</v>
      </c>
      <c r="AA179" s="282">
        <v>1</v>
      </c>
      <c r="AB179" s="282">
        <v>0</v>
      </c>
      <c r="AC179" s="282">
        <v>2</v>
      </c>
      <c r="AD179" s="282">
        <v>2</v>
      </c>
      <c r="AE179" s="282">
        <v>0</v>
      </c>
      <c r="AF179" s="364"/>
      <c r="AG179" s="282"/>
      <c r="AH179" s="282"/>
      <c r="AI179" s="406">
        <f t="shared" si="5"/>
        <v>5</v>
      </c>
      <c r="AJ179" s="406"/>
    </row>
    <row r="180" spans="1:37" ht="20.25">
      <c r="A180" s="278"/>
      <c r="B180" s="278"/>
      <c r="C180" s="365"/>
      <c r="D180" s="278"/>
      <c r="E180" s="278"/>
      <c r="F180" s="278"/>
      <c r="G180" s="365"/>
      <c r="H180" s="278"/>
      <c r="I180" s="366"/>
      <c r="J180" s="278"/>
      <c r="K180" s="278"/>
      <c r="L180" s="278"/>
      <c r="M180" s="329"/>
      <c r="N180" s="278"/>
      <c r="O180" s="366"/>
      <c r="P180" s="367"/>
      <c r="Q180" s="367"/>
      <c r="R180" s="278"/>
      <c r="T180" s="405"/>
      <c r="U180" s="369" t="s">
        <v>644</v>
      </c>
      <c r="V180" s="282">
        <v>0</v>
      </c>
      <c r="W180" s="282">
        <v>1</v>
      </c>
      <c r="X180" s="282">
        <v>3</v>
      </c>
      <c r="Y180" s="282">
        <v>2</v>
      </c>
      <c r="Z180" s="282">
        <v>0</v>
      </c>
      <c r="AA180" s="282">
        <v>6</v>
      </c>
      <c r="AB180" s="282">
        <v>6</v>
      </c>
      <c r="AC180" s="370">
        <v>2</v>
      </c>
      <c r="AD180" s="370">
        <v>2</v>
      </c>
      <c r="AE180" s="370">
        <v>1</v>
      </c>
      <c r="AF180" s="371"/>
      <c r="AG180" s="370"/>
      <c r="AH180" s="370"/>
      <c r="AI180" s="406">
        <f t="shared" si="5"/>
        <v>22</v>
      </c>
      <c r="AJ180" s="406"/>
      <c r="AK180" s="326" t="s">
        <v>1714</v>
      </c>
    </row>
    <row r="181" spans="1:37" ht="20.25">
      <c r="A181" s="278"/>
      <c r="B181" s="278"/>
      <c r="C181" s="365"/>
      <c r="D181" s="278"/>
      <c r="E181" s="278"/>
      <c r="F181" s="278"/>
      <c r="G181" s="365"/>
      <c r="H181" s="278"/>
      <c r="I181" s="366"/>
      <c r="J181" s="278"/>
      <c r="K181" s="278"/>
      <c r="L181" s="278"/>
      <c r="M181" s="329"/>
      <c r="N181" s="278"/>
      <c r="O181" s="366"/>
      <c r="P181" s="367"/>
      <c r="Q181" s="367"/>
      <c r="R181" s="278"/>
      <c r="T181" s="405"/>
      <c r="U181" s="369" t="s">
        <v>692</v>
      </c>
      <c r="V181" s="282">
        <v>0</v>
      </c>
      <c r="W181" s="282">
        <v>1</v>
      </c>
      <c r="X181" s="282">
        <v>1</v>
      </c>
      <c r="Y181" s="282">
        <v>2</v>
      </c>
      <c r="Z181" s="282">
        <v>6</v>
      </c>
      <c r="AA181" s="282">
        <v>2</v>
      </c>
      <c r="AB181" s="282">
        <v>0</v>
      </c>
      <c r="AC181" s="282">
        <v>3</v>
      </c>
      <c r="AD181" s="282">
        <v>0</v>
      </c>
      <c r="AE181" s="282">
        <v>0</v>
      </c>
      <c r="AF181" s="364"/>
      <c r="AG181" s="282"/>
      <c r="AH181" s="282"/>
      <c r="AI181" s="406">
        <f t="shared" si="5"/>
        <v>15</v>
      </c>
      <c r="AJ181" s="406"/>
      <c r="AK181" s="326" t="s">
        <v>1719</v>
      </c>
    </row>
    <row r="182" spans="1:37" ht="20.25">
      <c r="A182" s="278"/>
      <c r="B182" s="278"/>
      <c r="C182" s="365"/>
      <c r="D182" s="278"/>
      <c r="E182" s="278"/>
      <c r="F182" s="278"/>
      <c r="G182" s="365"/>
      <c r="H182" s="278"/>
      <c r="I182" s="366"/>
      <c r="J182" s="278"/>
      <c r="K182" s="278"/>
      <c r="L182" s="278"/>
      <c r="M182" s="329"/>
      <c r="N182" s="278"/>
      <c r="O182" s="366"/>
      <c r="P182" s="367"/>
      <c r="Q182" s="367"/>
      <c r="R182" s="278"/>
      <c r="T182" s="405"/>
      <c r="U182" s="369" t="s">
        <v>208</v>
      </c>
      <c r="V182" s="282">
        <v>0</v>
      </c>
      <c r="W182" s="282">
        <v>0</v>
      </c>
      <c r="X182" s="282">
        <v>1</v>
      </c>
      <c r="Y182" s="282">
        <v>2</v>
      </c>
      <c r="Z182" s="282">
        <v>0</v>
      </c>
      <c r="AA182" s="282">
        <v>1</v>
      </c>
      <c r="AB182" s="282">
        <v>0</v>
      </c>
      <c r="AC182" s="282">
        <v>0</v>
      </c>
      <c r="AD182" s="282">
        <v>0</v>
      </c>
      <c r="AE182" s="282">
        <v>0</v>
      </c>
      <c r="AF182" s="364"/>
      <c r="AG182" s="282"/>
      <c r="AH182" s="282"/>
      <c r="AI182" s="406">
        <f t="shared" si="5"/>
        <v>4</v>
      </c>
      <c r="AJ182" s="406"/>
    </row>
    <row r="183" spans="1:37" ht="20.25">
      <c r="A183" s="278"/>
      <c r="B183" s="278"/>
      <c r="C183" s="365"/>
      <c r="D183" s="278"/>
      <c r="E183" s="278"/>
      <c r="F183" s="278"/>
      <c r="G183" s="365"/>
      <c r="H183" s="278"/>
      <c r="I183" s="366"/>
      <c r="J183" s="278"/>
      <c r="K183" s="278"/>
      <c r="L183" s="278"/>
      <c r="M183" s="329"/>
      <c r="N183" s="278"/>
      <c r="O183" s="366"/>
      <c r="P183" s="367"/>
      <c r="Q183" s="367"/>
      <c r="R183" s="278"/>
      <c r="T183" s="405"/>
      <c r="U183" s="369" t="s">
        <v>1082</v>
      </c>
      <c r="V183" s="282">
        <v>0</v>
      </c>
      <c r="W183" s="282">
        <v>1</v>
      </c>
      <c r="X183" s="282">
        <v>1</v>
      </c>
      <c r="Y183" s="282">
        <v>0</v>
      </c>
      <c r="Z183" s="282">
        <v>1</v>
      </c>
      <c r="AA183" s="282">
        <v>0</v>
      </c>
      <c r="AB183" s="282">
        <v>0</v>
      </c>
      <c r="AC183" s="282">
        <v>1</v>
      </c>
      <c r="AD183" s="282">
        <v>0</v>
      </c>
      <c r="AE183" s="282">
        <v>0</v>
      </c>
      <c r="AF183" s="364"/>
      <c r="AG183" s="282"/>
      <c r="AH183" s="282"/>
      <c r="AI183" s="406">
        <f t="shared" si="5"/>
        <v>4</v>
      </c>
      <c r="AJ183" s="406"/>
    </row>
    <row r="184" spans="1:37" ht="20.25">
      <c r="A184" s="278"/>
      <c r="B184" s="278"/>
      <c r="C184" s="365"/>
      <c r="D184" s="278"/>
      <c r="E184" s="278"/>
      <c r="F184" s="278"/>
      <c r="G184" s="365"/>
      <c r="H184" s="278"/>
      <c r="I184" s="366"/>
      <c r="J184" s="278"/>
      <c r="K184" s="278"/>
      <c r="L184" s="278"/>
      <c r="M184" s="329"/>
      <c r="N184" s="278"/>
      <c r="O184" s="366"/>
      <c r="P184" s="367"/>
      <c r="Q184" s="367"/>
      <c r="R184" s="278"/>
      <c r="T184" s="405"/>
      <c r="U184" s="369" t="s">
        <v>1136</v>
      </c>
      <c r="V184" s="282">
        <v>1</v>
      </c>
      <c r="W184" s="282">
        <v>0</v>
      </c>
      <c r="X184" s="282">
        <v>1</v>
      </c>
      <c r="Y184" s="282">
        <v>0</v>
      </c>
      <c r="Z184" s="282">
        <v>1</v>
      </c>
      <c r="AA184" s="282">
        <v>7</v>
      </c>
      <c r="AB184" s="282">
        <v>0</v>
      </c>
      <c r="AC184" s="282">
        <v>1</v>
      </c>
      <c r="AD184" s="282">
        <v>0</v>
      </c>
      <c r="AE184" s="282">
        <v>0</v>
      </c>
      <c r="AF184" s="364"/>
      <c r="AG184" s="282"/>
      <c r="AH184" s="282"/>
      <c r="AI184" s="406">
        <f t="shared" si="5"/>
        <v>11</v>
      </c>
      <c r="AJ184" s="406"/>
    </row>
    <row r="185" spans="1:37" ht="20.25">
      <c r="T185" s="405"/>
      <c r="U185" s="369" t="s">
        <v>955</v>
      </c>
      <c r="V185" s="282">
        <v>0</v>
      </c>
      <c r="W185" s="282">
        <v>0</v>
      </c>
      <c r="X185" s="282">
        <v>0</v>
      </c>
      <c r="Y185" s="282">
        <v>0</v>
      </c>
      <c r="Z185" s="282">
        <v>0</v>
      </c>
      <c r="AA185" s="282">
        <v>0</v>
      </c>
      <c r="AB185" s="282">
        <v>0</v>
      </c>
      <c r="AC185" s="282">
        <v>0</v>
      </c>
      <c r="AD185" s="282">
        <v>1</v>
      </c>
      <c r="AE185" s="282">
        <v>0</v>
      </c>
      <c r="AF185" s="364"/>
      <c r="AG185" s="282"/>
      <c r="AH185" s="282"/>
      <c r="AI185" s="406">
        <f t="shared" si="5"/>
        <v>1</v>
      </c>
      <c r="AJ185" s="406"/>
    </row>
    <row r="186" spans="1:37" ht="20.25">
      <c r="A186" s="283"/>
      <c r="B186" s="330">
        <f>SUM(B162:B185)</f>
        <v>23</v>
      </c>
      <c r="C186" s="283"/>
      <c r="D186" s="330">
        <f>SUM(D161:D177)</f>
        <v>22</v>
      </c>
      <c r="E186" s="284" t="s">
        <v>1706</v>
      </c>
      <c r="F186" s="330">
        <f>SUM(F161:F177)</f>
        <v>22</v>
      </c>
      <c r="G186" s="332"/>
      <c r="H186" s="330">
        <f>SUM(H161:H184)</f>
        <v>22</v>
      </c>
      <c r="I186" s="283"/>
      <c r="J186" s="330">
        <f>SUM(J161:J184)</f>
        <v>22</v>
      </c>
      <c r="K186" s="283"/>
      <c r="L186" s="330">
        <f>SUM(L161:L163)</f>
        <v>22</v>
      </c>
      <c r="M186" s="333"/>
      <c r="N186" s="330">
        <f>SUM(N161:N184)</f>
        <v>22</v>
      </c>
      <c r="O186" s="283"/>
      <c r="P186" s="288">
        <f>P161+P162+P163+P164+P165+P166+P167+P168+P169+P170+P171+P172+P173+P174+P175+P176+P177+P178+P179+P180+P181+P182+P183</f>
        <v>22</v>
      </c>
      <c r="Q186" s="288">
        <f>SUM(Q161:Q184)</f>
        <v>110</v>
      </c>
      <c r="R186" s="283"/>
      <c r="T186" s="405"/>
      <c r="U186" s="369" t="s">
        <v>57</v>
      </c>
      <c r="V186" s="282">
        <v>1</v>
      </c>
      <c r="W186" s="282">
        <v>0</v>
      </c>
      <c r="X186" s="282">
        <v>0</v>
      </c>
      <c r="Y186" s="282">
        <v>0</v>
      </c>
      <c r="Z186" s="282">
        <v>0</v>
      </c>
      <c r="AA186" s="282">
        <v>0</v>
      </c>
      <c r="AB186" s="282">
        <v>0</v>
      </c>
      <c r="AC186" s="282">
        <v>5</v>
      </c>
      <c r="AD186" s="282">
        <v>1</v>
      </c>
      <c r="AE186" s="282">
        <v>1</v>
      </c>
      <c r="AF186" s="364"/>
      <c r="AG186" s="282"/>
      <c r="AH186" s="282"/>
      <c r="AI186" s="406">
        <f t="shared" si="5"/>
        <v>7</v>
      </c>
      <c r="AJ186" s="406"/>
    </row>
    <row r="187" spans="1:37" ht="20.25">
      <c r="T187" s="405"/>
      <c r="U187" s="369" t="s">
        <v>135</v>
      </c>
      <c r="V187" s="282">
        <v>0</v>
      </c>
      <c r="W187" s="282">
        <v>0</v>
      </c>
      <c r="X187" s="282">
        <v>2</v>
      </c>
      <c r="Y187" s="282">
        <v>1</v>
      </c>
      <c r="Z187" s="282">
        <v>2</v>
      </c>
      <c r="AA187" s="282">
        <v>3</v>
      </c>
      <c r="AB187" s="282">
        <v>1</v>
      </c>
      <c r="AC187" s="282">
        <v>3</v>
      </c>
      <c r="AD187" s="282">
        <v>0</v>
      </c>
      <c r="AE187" s="282">
        <v>0</v>
      </c>
      <c r="AF187" s="364"/>
      <c r="AG187" s="282"/>
      <c r="AH187" s="282"/>
      <c r="AI187" s="406">
        <f t="shared" si="5"/>
        <v>12</v>
      </c>
      <c r="AJ187" s="406"/>
      <c r="AK187" s="326" t="s">
        <v>1722</v>
      </c>
    </row>
    <row r="188" spans="1:37" ht="26.25">
      <c r="A188" s="407">
        <v>2023</v>
      </c>
      <c r="B188" s="407"/>
      <c r="C188" s="407"/>
      <c r="D188" s="407"/>
      <c r="E188" s="407"/>
      <c r="F188" s="407"/>
      <c r="G188" s="407"/>
      <c r="H188" s="407"/>
      <c r="I188" s="407"/>
      <c r="J188" s="407"/>
      <c r="K188" s="407"/>
      <c r="L188" s="407"/>
      <c r="M188" s="407"/>
      <c r="N188" s="407"/>
      <c r="O188" s="407"/>
      <c r="P188" s="407"/>
      <c r="Q188" s="407"/>
      <c r="R188" s="407"/>
      <c r="T188" s="405"/>
      <c r="U188" s="369" t="s">
        <v>71</v>
      </c>
      <c r="V188" s="282">
        <v>1</v>
      </c>
      <c r="W188" s="282">
        <v>0</v>
      </c>
      <c r="X188" s="282">
        <v>1</v>
      </c>
      <c r="Y188" s="282">
        <v>0</v>
      </c>
      <c r="Z188" s="282">
        <v>1</v>
      </c>
      <c r="AA188" s="282">
        <v>0</v>
      </c>
      <c r="AB188" s="282">
        <v>5</v>
      </c>
      <c r="AC188" s="282">
        <v>3</v>
      </c>
      <c r="AD188" s="282">
        <v>0</v>
      </c>
      <c r="AE188" s="282">
        <v>0</v>
      </c>
      <c r="AF188" s="364"/>
      <c r="AG188" s="282"/>
      <c r="AH188" s="282"/>
      <c r="AI188" s="406">
        <f t="shared" si="5"/>
        <v>11</v>
      </c>
      <c r="AJ188" s="406"/>
    </row>
    <row r="189" spans="1:37" ht="29.25" customHeight="1">
      <c r="A189" s="11" t="s">
        <v>1647</v>
      </c>
      <c r="B189" s="11"/>
      <c r="C189" s="11" t="s">
        <v>1648</v>
      </c>
      <c r="D189" s="11"/>
      <c r="E189" s="11" t="s">
        <v>1649</v>
      </c>
      <c r="F189" s="11"/>
      <c r="G189" s="11" t="s">
        <v>1650</v>
      </c>
      <c r="H189" s="11"/>
      <c r="I189" s="11" t="s">
        <v>13</v>
      </c>
      <c r="J189" s="11"/>
      <c r="K189" s="11" t="s">
        <v>1651</v>
      </c>
      <c r="L189" s="11"/>
      <c r="M189" s="11" t="s">
        <v>14</v>
      </c>
      <c r="N189" s="11"/>
      <c r="O189" s="11" t="s">
        <v>1652</v>
      </c>
      <c r="P189" s="11"/>
      <c r="Q189" s="274" t="s">
        <v>1653</v>
      </c>
      <c r="R189" s="274" t="s">
        <v>1654</v>
      </c>
      <c r="T189" s="405"/>
      <c r="U189" s="369" t="s">
        <v>31</v>
      </c>
      <c r="V189" s="282">
        <v>1</v>
      </c>
      <c r="W189" s="282">
        <v>0</v>
      </c>
      <c r="X189" s="282">
        <v>0</v>
      </c>
      <c r="Y189" s="282">
        <v>0</v>
      </c>
      <c r="Z189" s="282">
        <v>0</v>
      </c>
      <c r="AA189" s="282">
        <v>0</v>
      </c>
      <c r="AB189" s="282">
        <v>1</v>
      </c>
      <c r="AC189" s="282">
        <v>0</v>
      </c>
      <c r="AD189" s="282">
        <v>0</v>
      </c>
      <c r="AE189" s="282">
        <v>0</v>
      </c>
      <c r="AF189" s="364"/>
      <c r="AG189" s="282"/>
      <c r="AH189" s="282"/>
      <c r="AI189" s="406">
        <f t="shared" si="5"/>
        <v>2</v>
      </c>
      <c r="AJ189" s="406"/>
    </row>
    <row r="190" spans="1:37" ht="42" customHeight="1">
      <c r="A190" s="275"/>
      <c r="B190" s="275"/>
      <c r="C190" s="44" t="s">
        <v>1740</v>
      </c>
      <c r="D190" s="148">
        <v>21</v>
      </c>
      <c r="E190" s="275" t="s">
        <v>1656</v>
      </c>
      <c r="F190" s="275">
        <v>3</v>
      </c>
      <c r="G190" s="88" t="s">
        <v>977</v>
      </c>
      <c r="H190" s="148">
        <v>1</v>
      </c>
      <c r="I190" s="276" t="s">
        <v>1723</v>
      </c>
      <c r="J190" s="275">
        <v>10</v>
      </c>
      <c r="K190" s="148" t="s">
        <v>34</v>
      </c>
      <c r="L190" s="148">
        <v>33</v>
      </c>
      <c r="M190" s="276" t="s">
        <v>1790</v>
      </c>
      <c r="N190" s="275">
        <v>1</v>
      </c>
      <c r="O190" s="133" t="s">
        <v>173</v>
      </c>
      <c r="P190" s="134">
        <v>3</v>
      </c>
      <c r="Q190" s="134">
        <v>28</v>
      </c>
      <c r="R190" s="148">
        <f>Q218</f>
        <v>163</v>
      </c>
      <c r="T190" s="405"/>
      <c r="U190" s="369" t="s">
        <v>42</v>
      </c>
      <c r="V190" s="282">
        <v>1</v>
      </c>
      <c r="W190" s="282">
        <v>0</v>
      </c>
      <c r="X190" s="282">
        <v>0</v>
      </c>
      <c r="Y190" s="282">
        <v>0</v>
      </c>
      <c r="Z190" s="282">
        <v>0</v>
      </c>
      <c r="AA190" s="282">
        <v>0</v>
      </c>
      <c r="AB190" s="282">
        <v>0</v>
      </c>
      <c r="AC190" s="282">
        <v>0</v>
      </c>
      <c r="AD190" s="282">
        <v>0</v>
      </c>
      <c r="AE190" s="282">
        <v>0</v>
      </c>
      <c r="AF190" s="364"/>
      <c r="AG190" s="282"/>
      <c r="AH190" s="282"/>
      <c r="AI190" s="406">
        <f t="shared" si="5"/>
        <v>1</v>
      </c>
      <c r="AJ190" s="406"/>
    </row>
    <row r="191" spans="1:37" ht="20.25">
      <c r="A191" s="275" t="s">
        <v>1657</v>
      </c>
      <c r="B191" s="275">
        <v>31</v>
      </c>
      <c r="C191" s="44" t="s">
        <v>1256</v>
      </c>
      <c r="D191" s="148">
        <v>3</v>
      </c>
      <c r="E191" s="275" t="s">
        <v>1658</v>
      </c>
      <c r="F191" s="275">
        <v>5</v>
      </c>
      <c r="G191" s="44" t="s">
        <v>496</v>
      </c>
      <c r="H191" s="148">
        <v>1</v>
      </c>
      <c r="I191" s="37" t="s">
        <v>142</v>
      </c>
      <c r="J191" s="275">
        <v>2</v>
      </c>
      <c r="K191" s="148" t="s">
        <v>144</v>
      </c>
      <c r="L191" s="148">
        <v>4</v>
      </c>
      <c r="M191" s="37" t="s">
        <v>1817</v>
      </c>
      <c r="N191" s="275">
        <v>1</v>
      </c>
      <c r="O191" s="92" t="s">
        <v>982</v>
      </c>
      <c r="P191" s="101">
        <v>1</v>
      </c>
      <c r="Q191" s="101">
        <v>0</v>
      </c>
      <c r="R191" s="148"/>
      <c r="T191" s="405"/>
      <c r="U191" s="369" t="s">
        <v>1818</v>
      </c>
      <c r="V191" s="282">
        <v>0</v>
      </c>
      <c r="W191" s="282">
        <v>1</v>
      </c>
      <c r="X191" s="282">
        <v>0</v>
      </c>
      <c r="Y191" s="282">
        <v>1</v>
      </c>
      <c r="Z191" s="282">
        <v>0</v>
      </c>
      <c r="AA191" s="282">
        <v>3</v>
      </c>
      <c r="AB191" s="282">
        <v>0</v>
      </c>
      <c r="AC191" s="282">
        <v>0</v>
      </c>
      <c r="AD191" s="282">
        <v>0</v>
      </c>
      <c r="AE191" s="282">
        <v>0</v>
      </c>
      <c r="AF191" s="364"/>
      <c r="AG191" s="282"/>
      <c r="AH191" s="282"/>
      <c r="AI191" s="406">
        <f t="shared" si="5"/>
        <v>5</v>
      </c>
      <c r="AJ191" s="406"/>
    </row>
    <row r="192" spans="1:37" ht="30">
      <c r="A192" s="275" t="s">
        <v>1783</v>
      </c>
      <c r="B192" s="275">
        <v>9</v>
      </c>
      <c r="C192" s="88" t="s">
        <v>1100</v>
      </c>
      <c r="D192" s="148">
        <v>6</v>
      </c>
      <c r="E192" s="275" t="s">
        <v>1660</v>
      </c>
      <c r="F192" s="275">
        <v>7</v>
      </c>
      <c r="G192" s="88" t="s">
        <v>986</v>
      </c>
      <c r="H192" s="148">
        <v>1</v>
      </c>
      <c r="I192" s="276" t="s">
        <v>1819</v>
      </c>
      <c r="J192" s="275">
        <v>1</v>
      </c>
      <c r="K192" s="148" t="s">
        <v>1661</v>
      </c>
      <c r="L192" s="148">
        <v>3</v>
      </c>
      <c r="M192" s="37" t="s">
        <v>987</v>
      </c>
      <c r="N192" s="275">
        <v>1</v>
      </c>
      <c r="O192" s="133" t="s">
        <v>578</v>
      </c>
      <c r="P192" s="134">
        <v>1</v>
      </c>
      <c r="Q192" s="134">
        <v>1</v>
      </c>
      <c r="R192" s="348"/>
      <c r="T192" s="405"/>
      <c r="U192" s="369" t="s">
        <v>117</v>
      </c>
      <c r="V192" s="282">
        <v>0</v>
      </c>
      <c r="W192" s="282">
        <v>1</v>
      </c>
      <c r="X192" s="282">
        <v>2</v>
      </c>
      <c r="Y192" s="282">
        <v>3</v>
      </c>
      <c r="Z192" s="282">
        <v>0</v>
      </c>
      <c r="AA192" s="282">
        <v>0</v>
      </c>
      <c r="AB192" s="282">
        <v>0</v>
      </c>
      <c r="AC192" s="282">
        <v>0</v>
      </c>
      <c r="AD192" s="282">
        <v>0</v>
      </c>
      <c r="AE192" s="282">
        <v>0</v>
      </c>
      <c r="AF192" s="364"/>
      <c r="AG192" s="282"/>
      <c r="AH192" s="282"/>
      <c r="AI192" s="406">
        <f t="shared" si="5"/>
        <v>6</v>
      </c>
      <c r="AJ192" s="406"/>
    </row>
    <row r="193" spans="1:37" ht="30.75">
      <c r="A193" s="275"/>
      <c r="B193" s="275"/>
      <c r="C193" s="88" t="s">
        <v>995</v>
      </c>
      <c r="D193" s="148">
        <v>1</v>
      </c>
      <c r="E193" s="275" t="s">
        <v>1662</v>
      </c>
      <c r="F193" s="275">
        <v>2</v>
      </c>
      <c r="G193" s="88" t="s">
        <v>57</v>
      </c>
      <c r="H193" s="148">
        <v>3</v>
      </c>
      <c r="I193" s="276" t="s">
        <v>354</v>
      </c>
      <c r="J193" s="275">
        <v>2</v>
      </c>
      <c r="K193" s="148"/>
      <c r="L193" s="148"/>
      <c r="M193" s="37" t="s">
        <v>198</v>
      </c>
      <c r="N193" s="275">
        <v>1</v>
      </c>
      <c r="O193" s="133" t="s">
        <v>791</v>
      </c>
      <c r="P193" s="134">
        <v>1</v>
      </c>
      <c r="Q193" s="134">
        <v>0</v>
      </c>
      <c r="R193" s="148"/>
      <c r="T193" s="405"/>
      <c r="U193" s="372" t="s">
        <v>141</v>
      </c>
      <c r="V193" s="288">
        <v>0</v>
      </c>
      <c r="W193" s="288">
        <v>0</v>
      </c>
      <c r="X193" s="288">
        <v>1</v>
      </c>
      <c r="Y193" s="288">
        <v>0</v>
      </c>
      <c r="Z193" s="288">
        <v>0</v>
      </c>
      <c r="AA193" s="288">
        <v>0</v>
      </c>
      <c r="AB193" s="282">
        <v>0</v>
      </c>
      <c r="AC193" s="282">
        <v>0</v>
      </c>
      <c r="AD193" s="282">
        <v>0</v>
      </c>
      <c r="AE193" s="282">
        <v>0</v>
      </c>
      <c r="AF193" s="364"/>
      <c r="AG193" s="282"/>
      <c r="AH193" s="282"/>
      <c r="AI193" s="406">
        <f t="shared" si="5"/>
        <v>1</v>
      </c>
      <c r="AJ193" s="406"/>
    </row>
    <row r="194" spans="1:37" ht="30">
      <c r="A194" s="275"/>
      <c r="B194" s="275"/>
      <c r="C194" s="88" t="s">
        <v>1820</v>
      </c>
      <c r="D194" s="148">
        <v>1</v>
      </c>
      <c r="E194" s="275" t="s">
        <v>1663</v>
      </c>
      <c r="F194" s="275">
        <v>2</v>
      </c>
      <c r="G194" s="44" t="s">
        <v>997</v>
      </c>
      <c r="H194" s="148">
        <v>1</v>
      </c>
      <c r="I194" s="276"/>
      <c r="J194" s="275"/>
      <c r="K194" s="148"/>
      <c r="L194" s="148"/>
      <c r="M194" s="276" t="s">
        <v>1821</v>
      </c>
      <c r="N194" s="275">
        <v>1</v>
      </c>
      <c r="O194" s="133" t="s">
        <v>628</v>
      </c>
      <c r="P194" s="134">
        <v>1</v>
      </c>
      <c r="Q194" s="134">
        <v>14</v>
      </c>
      <c r="R194" s="148"/>
      <c r="T194" s="405"/>
      <c r="U194" s="373" t="s">
        <v>193</v>
      </c>
      <c r="V194" s="282">
        <v>0</v>
      </c>
      <c r="W194" s="282">
        <v>0</v>
      </c>
      <c r="X194" s="282">
        <v>1</v>
      </c>
      <c r="Y194" s="282">
        <v>0</v>
      </c>
      <c r="Z194" s="282">
        <v>1</v>
      </c>
      <c r="AA194" s="282">
        <v>0</v>
      </c>
      <c r="AB194" s="282">
        <v>0</v>
      </c>
      <c r="AC194" s="282">
        <v>0</v>
      </c>
      <c r="AD194" s="282">
        <v>0</v>
      </c>
      <c r="AE194" s="282">
        <v>0</v>
      </c>
      <c r="AF194" s="364"/>
      <c r="AG194" s="282"/>
      <c r="AH194" s="282"/>
      <c r="AI194" s="406">
        <f t="shared" si="5"/>
        <v>2</v>
      </c>
      <c r="AJ194" s="406"/>
    </row>
    <row r="195" spans="1:37" ht="20.25">
      <c r="A195" s="275"/>
      <c r="B195" s="275"/>
      <c r="C195" s="88" t="s">
        <v>887</v>
      </c>
      <c r="D195" s="148">
        <v>1</v>
      </c>
      <c r="E195" s="275" t="s">
        <v>1664</v>
      </c>
      <c r="F195" s="275">
        <v>2</v>
      </c>
      <c r="G195" s="88" t="s">
        <v>76</v>
      </c>
      <c r="H195" s="148">
        <v>5</v>
      </c>
      <c r="I195" s="276" t="s">
        <v>64</v>
      </c>
      <c r="J195" s="275">
        <v>10</v>
      </c>
      <c r="K195" s="148"/>
      <c r="L195" s="148"/>
      <c r="M195" s="37" t="s">
        <v>1762</v>
      </c>
      <c r="N195" s="275">
        <v>1</v>
      </c>
      <c r="O195" s="133" t="s">
        <v>35</v>
      </c>
      <c r="P195" s="134">
        <v>8</v>
      </c>
      <c r="Q195" s="134">
        <v>0</v>
      </c>
      <c r="R195" s="148"/>
      <c r="T195" s="405"/>
      <c r="U195" s="373" t="s">
        <v>171</v>
      </c>
      <c r="V195" s="282">
        <v>0</v>
      </c>
      <c r="W195" s="282">
        <v>0</v>
      </c>
      <c r="X195" s="282">
        <v>1</v>
      </c>
      <c r="Y195" s="282">
        <v>1</v>
      </c>
      <c r="Z195" s="282">
        <v>0</v>
      </c>
      <c r="AA195" s="282">
        <v>0</v>
      </c>
      <c r="AB195" s="282">
        <v>0</v>
      </c>
      <c r="AC195" s="282">
        <v>0</v>
      </c>
      <c r="AD195" s="282">
        <v>0</v>
      </c>
      <c r="AE195" s="282">
        <v>0</v>
      </c>
      <c r="AF195" s="364"/>
      <c r="AG195" s="282"/>
      <c r="AH195" s="282"/>
      <c r="AI195" s="406">
        <f t="shared" si="5"/>
        <v>2</v>
      </c>
      <c r="AJ195" s="406"/>
    </row>
    <row r="196" spans="1:37" ht="20.25">
      <c r="A196" s="275"/>
      <c r="B196" s="275"/>
      <c r="C196" s="88" t="s">
        <v>1077</v>
      </c>
      <c r="D196" s="148">
        <v>1</v>
      </c>
      <c r="E196" s="275" t="s">
        <v>1665</v>
      </c>
      <c r="F196" s="275">
        <v>3</v>
      </c>
      <c r="G196" s="88" t="s">
        <v>1006</v>
      </c>
      <c r="H196" s="148">
        <v>1</v>
      </c>
      <c r="I196" s="276" t="s">
        <v>43</v>
      </c>
      <c r="J196" s="275">
        <v>1</v>
      </c>
      <c r="K196" s="148"/>
      <c r="L196" s="148"/>
      <c r="M196" s="37" t="s">
        <v>797</v>
      </c>
      <c r="N196" s="275">
        <v>1</v>
      </c>
      <c r="O196" s="133" t="s">
        <v>1007</v>
      </c>
      <c r="P196" s="134">
        <v>1</v>
      </c>
      <c r="Q196" s="134">
        <v>10</v>
      </c>
      <c r="R196" s="148"/>
      <c r="T196" s="405"/>
      <c r="U196" s="373" t="s">
        <v>220</v>
      </c>
      <c r="V196" s="282">
        <v>0</v>
      </c>
      <c r="W196" s="282">
        <v>0</v>
      </c>
      <c r="X196" s="282">
        <v>1</v>
      </c>
      <c r="Y196" s="282">
        <v>0</v>
      </c>
      <c r="Z196" s="282">
        <v>0</v>
      </c>
      <c r="AA196" s="282">
        <v>0</v>
      </c>
      <c r="AB196" s="282">
        <v>0</v>
      </c>
      <c r="AC196" s="282">
        <v>0</v>
      </c>
      <c r="AD196" s="282">
        <v>0</v>
      </c>
      <c r="AE196" s="282">
        <v>0</v>
      </c>
      <c r="AF196" s="364"/>
      <c r="AG196" s="282"/>
      <c r="AH196" s="282"/>
      <c r="AI196" s="406">
        <f t="shared" si="5"/>
        <v>1</v>
      </c>
      <c r="AJ196" s="406"/>
    </row>
    <row r="197" spans="1:37" ht="30">
      <c r="A197" s="275"/>
      <c r="B197" s="275"/>
      <c r="C197" s="88" t="s">
        <v>1089</v>
      </c>
      <c r="D197" s="148">
        <v>1</v>
      </c>
      <c r="E197" s="275" t="s">
        <v>1666</v>
      </c>
      <c r="F197" s="275">
        <v>2</v>
      </c>
      <c r="G197" s="88" t="s">
        <v>1031</v>
      </c>
      <c r="H197" s="148">
        <v>1</v>
      </c>
      <c r="I197" s="276" t="s">
        <v>934</v>
      </c>
      <c r="J197" s="275">
        <v>1</v>
      </c>
      <c r="K197" s="148"/>
      <c r="L197" s="148"/>
      <c r="M197" s="37" t="s">
        <v>1822</v>
      </c>
      <c r="N197" s="275">
        <v>1</v>
      </c>
      <c r="O197" s="133" t="s">
        <v>1033</v>
      </c>
      <c r="P197" s="134">
        <v>1</v>
      </c>
      <c r="Q197" s="134">
        <v>2</v>
      </c>
      <c r="R197" s="148"/>
      <c r="T197" s="405"/>
      <c r="U197" s="373" t="s">
        <v>287</v>
      </c>
      <c r="V197" s="282">
        <v>0</v>
      </c>
      <c r="W197" s="282">
        <v>0</v>
      </c>
      <c r="X197" s="282">
        <v>0</v>
      </c>
      <c r="Y197" s="282">
        <v>1</v>
      </c>
      <c r="Z197" s="282">
        <v>1</v>
      </c>
      <c r="AA197" s="282">
        <v>0</v>
      </c>
      <c r="AB197" s="282">
        <v>2</v>
      </c>
      <c r="AC197" s="282">
        <v>0</v>
      </c>
      <c r="AD197" s="282">
        <v>0</v>
      </c>
      <c r="AE197" s="282">
        <v>0</v>
      </c>
      <c r="AF197" s="364"/>
      <c r="AG197" s="282"/>
      <c r="AH197" s="282"/>
      <c r="AI197" s="406">
        <f t="shared" si="5"/>
        <v>4</v>
      </c>
      <c r="AJ197" s="406"/>
    </row>
    <row r="198" spans="1:37" ht="20.25">
      <c r="A198" s="275"/>
      <c r="B198" s="275"/>
      <c r="C198" s="88" t="s">
        <v>1823</v>
      </c>
      <c r="D198" s="148">
        <v>1</v>
      </c>
      <c r="E198" s="275" t="s">
        <v>1667</v>
      </c>
      <c r="F198" s="275">
        <v>3</v>
      </c>
      <c r="G198" s="88" t="s">
        <v>1824</v>
      </c>
      <c r="H198" s="148">
        <v>2</v>
      </c>
      <c r="I198" s="276" t="s">
        <v>735</v>
      </c>
      <c r="J198" s="275">
        <v>1</v>
      </c>
      <c r="K198" s="148"/>
      <c r="L198" s="148"/>
      <c r="M198" s="37" t="s">
        <v>1037</v>
      </c>
      <c r="N198" s="275">
        <v>1</v>
      </c>
      <c r="O198" s="133" t="s">
        <v>1038</v>
      </c>
      <c r="P198" s="356">
        <v>1</v>
      </c>
      <c r="Q198" s="134">
        <v>7</v>
      </c>
      <c r="R198" s="148"/>
      <c r="T198" s="405"/>
      <c r="U198" s="373" t="s">
        <v>1825</v>
      </c>
      <c r="V198" s="282">
        <v>0</v>
      </c>
      <c r="W198" s="282">
        <v>0</v>
      </c>
      <c r="X198" s="282">
        <v>0</v>
      </c>
      <c r="Y198" s="282">
        <v>1</v>
      </c>
      <c r="Z198" s="282">
        <v>0</v>
      </c>
      <c r="AA198" s="282">
        <v>0</v>
      </c>
      <c r="AB198" s="282">
        <v>1</v>
      </c>
      <c r="AC198" s="282">
        <v>0</v>
      </c>
      <c r="AD198" s="282">
        <v>0</v>
      </c>
      <c r="AE198" s="282">
        <v>0</v>
      </c>
      <c r="AF198" s="364"/>
      <c r="AG198" s="282"/>
      <c r="AH198" s="282"/>
      <c r="AI198" s="406">
        <f t="shared" si="5"/>
        <v>2</v>
      </c>
      <c r="AJ198" s="406"/>
    </row>
    <row r="199" spans="1:37" ht="30">
      <c r="A199" s="275"/>
      <c r="B199" s="275"/>
      <c r="C199" s="88" t="s">
        <v>539</v>
      </c>
      <c r="D199" s="148">
        <v>1</v>
      </c>
      <c r="E199" s="275" t="s">
        <v>1668</v>
      </c>
      <c r="F199" s="275">
        <v>4</v>
      </c>
      <c r="G199" s="88" t="s">
        <v>955</v>
      </c>
      <c r="H199" s="148">
        <v>1</v>
      </c>
      <c r="I199" s="276" t="s">
        <v>783</v>
      </c>
      <c r="J199" s="275">
        <v>1</v>
      </c>
      <c r="K199" s="148"/>
      <c r="L199" s="148"/>
      <c r="M199" s="37" t="s">
        <v>240</v>
      </c>
      <c r="N199" s="275">
        <v>4</v>
      </c>
      <c r="O199" s="133" t="s">
        <v>1097</v>
      </c>
      <c r="P199" s="134">
        <v>4</v>
      </c>
      <c r="Q199" s="134">
        <v>0</v>
      </c>
      <c r="R199" s="148"/>
      <c r="T199" s="405"/>
      <c r="U199" s="373" t="s">
        <v>231</v>
      </c>
      <c r="V199" s="282">
        <v>0</v>
      </c>
      <c r="W199" s="282">
        <v>0</v>
      </c>
      <c r="X199" s="282">
        <v>0</v>
      </c>
      <c r="Y199" s="282">
        <v>1</v>
      </c>
      <c r="Z199" s="282">
        <v>0</v>
      </c>
      <c r="AA199" s="282">
        <v>0</v>
      </c>
      <c r="AB199" s="282">
        <v>0</v>
      </c>
      <c r="AC199" s="282">
        <v>0</v>
      </c>
      <c r="AD199" s="282">
        <v>0</v>
      </c>
      <c r="AE199" s="282">
        <v>0</v>
      </c>
      <c r="AF199" s="364"/>
      <c r="AG199" s="282"/>
      <c r="AH199" s="282"/>
      <c r="AI199" s="406">
        <f t="shared" si="5"/>
        <v>1</v>
      </c>
      <c r="AJ199" s="406"/>
    </row>
    <row r="200" spans="1:37" ht="30">
      <c r="A200" s="275"/>
      <c r="B200" s="275"/>
      <c r="C200" s="88" t="s">
        <v>81</v>
      </c>
      <c r="D200" s="148">
        <v>1</v>
      </c>
      <c r="E200" s="275" t="s">
        <v>1669</v>
      </c>
      <c r="F200" s="275">
        <v>4</v>
      </c>
      <c r="G200" s="88" t="s">
        <v>1826</v>
      </c>
      <c r="H200" s="148">
        <v>2</v>
      </c>
      <c r="I200" s="276" t="s">
        <v>1101</v>
      </c>
      <c r="J200" s="275">
        <v>1</v>
      </c>
      <c r="K200" s="148"/>
      <c r="L200" s="148"/>
      <c r="M200" s="37" t="s">
        <v>1827</v>
      </c>
      <c r="N200" s="275">
        <v>1</v>
      </c>
      <c r="O200" s="133" t="s">
        <v>489</v>
      </c>
      <c r="P200" s="134">
        <v>1</v>
      </c>
      <c r="Q200" s="357">
        <v>0</v>
      </c>
      <c r="R200" s="148"/>
      <c r="T200" s="405"/>
      <c r="U200" s="373" t="s">
        <v>1531</v>
      </c>
      <c r="V200" s="282">
        <v>0</v>
      </c>
      <c r="W200" s="282">
        <v>0</v>
      </c>
      <c r="X200" s="282">
        <v>0</v>
      </c>
      <c r="Y200" s="282">
        <v>0</v>
      </c>
      <c r="Z200" s="282">
        <v>1</v>
      </c>
      <c r="AA200" s="282">
        <v>0</v>
      </c>
      <c r="AB200" s="282">
        <v>0</v>
      </c>
      <c r="AC200" s="282">
        <v>0</v>
      </c>
      <c r="AD200" s="282">
        <v>0</v>
      </c>
      <c r="AE200" s="282">
        <v>0</v>
      </c>
      <c r="AF200" s="364"/>
      <c r="AG200" s="282"/>
      <c r="AH200" s="282"/>
      <c r="AI200" s="406">
        <f t="shared" si="5"/>
        <v>1</v>
      </c>
      <c r="AJ200" s="406"/>
    </row>
    <row r="201" spans="1:37" ht="45.75">
      <c r="A201" s="275"/>
      <c r="B201" s="275"/>
      <c r="C201" s="88" t="s">
        <v>640</v>
      </c>
      <c r="D201" s="148">
        <v>1</v>
      </c>
      <c r="E201" s="275" t="s">
        <v>1670</v>
      </c>
      <c r="F201" s="275">
        <v>3</v>
      </c>
      <c r="G201" s="88" t="s">
        <v>889</v>
      </c>
      <c r="H201" s="148">
        <v>1</v>
      </c>
      <c r="I201" s="276" t="s">
        <v>1111</v>
      </c>
      <c r="J201" s="275">
        <v>1</v>
      </c>
      <c r="K201" s="148"/>
      <c r="L201" s="148"/>
      <c r="M201" s="37" t="s">
        <v>1060</v>
      </c>
      <c r="N201" s="275">
        <v>1</v>
      </c>
      <c r="O201" s="133" t="s">
        <v>1061</v>
      </c>
      <c r="P201" s="356">
        <v>1</v>
      </c>
      <c r="Q201" s="134">
        <v>1</v>
      </c>
      <c r="R201" s="358"/>
      <c r="T201" s="405"/>
      <c r="U201" s="373" t="s">
        <v>1828</v>
      </c>
      <c r="V201" s="282">
        <v>0</v>
      </c>
      <c r="W201" s="282">
        <v>0</v>
      </c>
      <c r="X201" s="282">
        <v>0</v>
      </c>
      <c r="Y201" s="282">
        <v>0</v>
      </c>
      <c r="Z201" s="282">
        <v>1</v>
      </c>
      <c r="AA201" s="282">
        <v>0</v>
      </c>
      <c r="AB201" s="282">
        <v>0</v>
      </c>
      <c r="AC201" s="282">
        <v>0</v>
      </c>
      <c r="AD201" s="282">
        <v>0</v>
      </c>
      <c r="AE201" s="282">
        <v>0</v>
      </c>
      <c r="AF201" s="364"/>
      <c r="AG201" s="282"/>
      <c r="AH201" s="282"/>
      <c r="AI201" s="406">
        <f t="shared" si="5"/>
        <v>1</v>
      </c>
      <c r="AJ201" s="406"/>
    </row>
    <row r="202" spans="1:37" ht="30">
      <c r="A202" s="275"/>
      <c r="B202" s="275"/>
      <c r="C202" s="88" t="s">
        <v>1829</v>
      </c>
      <c r="D202" s="148">
        <v>1</v>
      </c>
      <c r="E202" s="275"/>
      <c r="F202" s="275"/>
      <c r="G202" s="88" t="s">
        <v>909</v>
      </c>
      <c r="H202" s="148">
        <v>2</v>
      </c>
      <c r="I202" s="276" t="s">
        <v>1115</v>
      </c>
      <c r="J202" s="275">
        <v>1</v>
      </c>
      <c r="K202" s="148"/>
      <c r="L202" s="148"/>
      <c r="M202" s="37" t="s">
        <v>1830</v>
      </c>
      <c r="N202" s="275">
        <v>2</v>
      </c>
      <c r="O202" s="133" t="s">
        <v>1055</v>
      </c>
      <c r="P202" s="359">
        <v>1</v>
      </c>
      <c r="Q202" s="134">
        <v>4</v>
      </c>
      <c r="R202" s="358"/>
      <c r="T202" s="405"/>
      <c r="U202" s="373" t="s">
        <v>1831</v>
      </c>
      <c r="V202" s="282">
        <v>0</v>
      </c>
      <c r="W202" s="282">
        <v>0</v>
      </c>
      <c r="X202" s="282">
        <v>0</v>
      </c>
      <c r="Y202" s="282">
        <v>0</v>
      </c>
      <c r="Z202" s="282">
        <v>1</v>
      </c>
      <c r="AA202" s="282">
        <v>0</v>
      </c>
      <c r="AB202" s="282">
        <v>0</v>
      </c>
      <c r="AC202" s="282">
        <v>0</v>
      </c>
      <c r="AD202" s="282">
        <v>0</v>
      </c>
      <c r="AE202" s="282">
        <v>0</v>
      </c>
      <c r="AF202" s="364"/>
      <c r="AG202" s="282"/>
      <c r="AH202" s="282"/>
      <c r="AI202" s="406">
        <f t="shared" si="5"/>
        <v>1</v>
      </c>
      <c r="AJ202" s="406"/>
    </row>
    <row r="203" spans="1:37" ht="20.25">
      <c r="A203" s="275"/>
      <c r="B203" s="275"/>
      <c r="C203" s="88"/>
      <c r="D203" s="148"/>
      <c r="E203" s="275"/>
      <c r="F203" s="275"/>
      <c r="G203" s="88" t="s">
        <v>287</v>
      </c>
      <c r="H203" s="148">
        <v>3</v>
      </c>
      <c r="I203" s="276" t="s">
        <v>456</v>
      </c>
      <c r="J203" s="275">
        <v>1</v>
      </c>
      <c r="K203" s="148"/>
      <c r="L203" s="148"/>
      <c r="M203" s="37" t="s">
        <v>1832</v>
      </c>
      <c r="N203" s="275">
        <v>1</v>
      </c>
      <c r="O203" s="133" t="s">
        <v>1064</v>
      </c>
      <c r="P203" s="356">
        <v>1</v>
      </c>
      <c r="Q203" s="134">
        <v>14</v>
      </c>
      <c r="R203" s="358"/>
      <c r="T203" s="405"/>
      <c r="U203" s="373" t="s">
        <v>1833</v>
      </c>
      <c r="V203" s="282">
        <v>0</v>
      </c>
      <c r="W203" s="282">
        <v>0</v>
      </c>
      <c r="X203" s="282">
        <v>0</v>
      </c>
      <c r="Y203" s="282">
        <v>0</v>
      </c>
      <c r="Z203" s="282">
        <v>1</v>
      </c>
      <c r="AA203" s="282">
        <v>0</v>
      </c>
      <c r="AB203" s="282">
        <v>0</v>
      </c>
      <c r="AC203" s="282">
        <v>0</v>
      </c>
      <c r="AD203" s="282">
        <v>0</v>
      </c>
      <c r="AE203" s="282">
        <v>0</v>
      </c>
      <c r="AF203" s="364"/>
      <c r="AG203" s="282"/>
      <c r="AH203" s="282"/>
      <c r="AI203" s="406">
        <f t="shared" si="5"/>
        <v>1</v>
      </c>
      <c r="AJ203" s="406"/>
    </row>
    <row r="204" spans="1:37" ht="20.25">
      <c r="A204" s="275"/>
      <c r="B204" s="275"/>
      <c r="C204" s="88"/>
      <c r="D204" s="148"/>
      <c r="E204" s="275"/>
      <c r="F204" s="275"/>
      <c r="G204" s="88" t="s">
        <v>171</v>
      </c>
      <c r="H204" s="148">
        <v>1</v>
      </c>
      <c r="I204" s="276" t="s">
        <v>1083</v>
      </c>
      <c r="J204" s="275">
        <v>1</v>
      </c>
      <c r="K204" s="148"/>
      <c r="L204" s="148"/>
      <c r="M204" s="37" t="s">
        <v>1802</v>
      </c>
      <c r="N204" s="275">
        <v>1</v>
      </c>
      <c r="O204" s="133" t="s">
        <v>1072</v>
      </c>
      <c r="P204" s="356">
        <v>1</v>
      </c>
      <c r="Q204" s="360">
        <v>1</v>
      </c>
      <c r="R204" s="358"/>
      <c r="T204" s="405"/>
      <c r="U204" s="373" t="s">
        <v>1834</v>
      </c>
      <c r="V204" s="282">
        <v>0</v>
      </c>
      <c r="W204" s="282">
        <v>0</v>
      </c>
      <c r="X204" s="282">
        <v>0</v>
      </c>
      <c r="Y204" s="282">
        <v>0</v>
      </c>
      <c r="Z204" s="282">
        <v>0</v>
      </c>
      <c r="AA204" s="282">
        <v>2</v>
      </c>
      <c r="AB204" s="282">
        <v>1</v>
      </c>
      <c r="AC204" s="282">
        <v>0</v>
      </c>
      <c r="AD204" s="282">
        <v>0</v>
      </c>
      <c r="AE204" s="282">
        <v>0</v>
      </c>
      <c r="AF204" s="364"/>
      <c r="AG204" s="282"/>
      <c r="AH204" s="282"/>
      <c r="AI204" s="406">
        <f t="shared" si="5"/>
        <v>3</v>
      </c>
      <c r="AJ204" s="406"/>
    </row>
    <row r="205" spans="1:37" ht="30.75">
      <c r="A205" s="275"/>
      <c r="B205" s="275"/>
      <c r="C205" s="88"/>
      <c r="D205" s="148"/>
      <c r="E205" s="275"/>
      <c r="F205" s="275"/>
      <c r="G205" s="88" t="s">
        <v>1835</v>
      </c>
      <c r="H205" s="148">
        <v>1</v>
      </c>
      <c r="I205" s="276"/>
      <c r="J205" s="275">
        <v>1</v>
      </c>
      <c r="K205" s="148"/>
      <c r="L205" s="148"/>
      <c r="M205" s="37" t="s">
        <v>1836</v>
      </c>
      <c r="N205" s="275">
        <v>1</v>
      </c>
      <c r="O205" s="133" t="s">
        <v>598</v>
      </c>
      <c r="P205" s="134">
        <v>1</v>
      </c>
      <c r="Q205" s="360">
        <v>1</v>
      </c>
      <c r="R205" s="148"/>
      <c r="T205" s="405"/>
      <c r="U205" s="373" t="s">
        <v>845</v>
      </c>
      <c r="V205" s="282">
        <v>0</v>
      </c>
      <c r="W205" s="282">
        <v>0</v>
      </c>
      <c r="X205" s="282">
        <v>0</v>
      </c>
      <c r="Y205" s="282">
        <v>0</v>
      </c>
      <c r="Z205" s="282">
        <v>0</v>
      </c>
      <c r="AA205" s="282">
        <v>0</v>
      </c>
      <c r="AB205" s="282">
        <v>0</v>
      </c>
      <c r="AC205" s="282">
        <v>1</v>
      </c>
      <c r="AD205" s="282">
        <v>0</v>
      </c>
      <c r="AE205" s="282">
        <v>0</v>
      </c>
      <c r="AF205" s="364"/>
      <c r="AG205" s="282"/>
      <c r="AH205" s="282"/>
      <c r="AI205" s="406">
        <f t="shared" si="5"/>
        <v>1</v>
      </c>
      <c r="AJ205" s="406"/>
    </row>
    <row r="206" spans="1:37" ht="30">
      <c r="A206" s="275"/>
      <c r="B206" s="275"/>
      <c r="C206" s="88"/>
      <c r="D206" s="148"/>
      <c r="E206" s="275"/>
      <c r="F206" s="275"/>
      <c r="G206" s="88" t="s">
        <v>1082</v>
      </c>
      <c r="H206" s="148">
        <v>2</v>
      </c>
      <c r="I206" s="276" t="s">
        <v>1054</v>
      </c>
      <c r="J206" s="275">
        <v>3</v>
      </c>
      <c r="K206" s="148"/>
      <c r="L206" s="148"/>
      <c r="M206" s="37" t="s">
        <v>1837</v>
      </c>
      <c r="N206" s="275">
        <v>1</v>
      </c>
      <c r="O206" s="133" t="s">
        <v>1080</v>
      </c>
      <c r="P206" s="134">
        <v>2</v>
      </c>
      <c r="Q206" s="134">
        <v>44</v>
      </c>
      <c r="R206" s="148"/>
      <c r="T206" s="405"/>
      <c r="U206" s="374" t="s">
        <v>1838</v>
      </c>
      <c r="V206" s="288">
        <v>0</v>
      </c>
      <c r="W206" s="288">
        <v>0</v>
      </c>
      <c r="X206" s="288">
        <v>0</v>
      </c>
      <c r="Y206" s="288">
        <v>0</v>
      </c>
      <c r="Z206" s="288">
        <v>0</v>
      </c>
      <c r="AA206" s="288">
        <v>0</v>
      </c>
      <c r="AB206" s="282">
        <v>1</v>
      </c>
      <c r="AC206" s="282">
        <v>0</v>
      </c>
      <c r="AD206" s="282">
        <v>0</v>
      </c>
      <c r="AE206" s="282">
        <v>0</v>
      </c>
      <c r="AF206" s="364"/>
      <c r="AG206" s="282"/>
      <c r="AH206" s="282"/>
      <c r="AI206" s="406">
        <f t="shared" si="5"/>
        <v>1</v>
      </c>
      <c r="AJ206" s="406"/>
    </row>
    <row r="207" spans="1:37" ht="20.25">
      <c r="A207" s="275"/>
      <c r="B207" s="275"/>
      <c r="C207" s="88"/>
      <c r="D207" s="148"/>
      <c r="E207" s="275"/>
      <c r="F207" s="275"/>
      <c r="G207" s="88" t="s">
        <v>1092</v>
      </c>
      <c r="H207" s="148">
        <v>1</v>
      </c>
      <c r="I207" s="276" t="s">
        <v>1124</v>
      </c>
      <c r="J207" s="275">
        <v>2</v>
      </c>
      <c r="K207" s="148"/>
      <c r="L207" s="148"/>
      <c r="M207" s="37" t="s">
        <v>670</v>
      </c>
      <c r="N207" s="275">
        <v>1</v>
      </c>
      <c r="O207" s="133" t="s">
        <v>1103</v>
      </c>
      <c r="P207" s="134">
        <v>1</v>
      </c>
      <c r="Q207" s="134">
        <v>0</v>
      </c>
      <c r="R207" s="148"/>
      <c r="T207" s="405"/>
      <c r="U207" s="373" t="s">
        <v>1687</v>
      </c>
      <c r="V207" s="282">
        <v>0</v>
      </c>
      <c r="W207" s="282">
        <v>0</v>
      </c>
      <c r="X207" s="282">
        <v>0</v>
      </c>
      <c r="Y207" s="282">
        <v>0</v>
      </c>
      <c r="Z207" s="282">
        <v>0</v>
      </c>
      <c r="AA207" s="282">
        <v>1</v>
      </c>
      <c r="AB207" s="282">
        <v>0</v>
      </c>
      <c r="AC207" s="275">
        <v>3</v>
      </c>
      <c r="AD207" s="275">
        <v>0</v>
      </c>
      <c r="AE207" s="275">
        <v>0</v>
      </c>
      <c r="AF207" s="375"/>
      <c r="AG207" s="275"/>
      <c r="AH207" s="275"/>
      <c r="AI207" s="406">
        <f t="shared" si="5"/>
        <v>4</v>
      </c>
      <c r="AJ207" s="406"/>
    </row>
    <row r="208" spans="1:37" ht="20.25">
      <c r="A208" s="275"/>
      <c r="B208" s="275"/>
      <c r="C208" s="88"/>
      <c r="D208" s="148"/>
      <c r="E208" s="275"/>
      <c r="F208" s="275"/>
      <c r="G208" s="88" t="s">
        <v>511</v>
      </c>
      <c r="H208" s="148">
        <v>1</v>
      </c>
      <c r="I208" s="276"/>
      <c r="J208" s="275"/>
      <c r="K208" s="148"/>
      <c r="L208" s="148"/>
      <c r="M208" s="37" t="s">
        <v>250</v>
      </c>
      <c r="N208" s="275">
        <v>2</v>
      </c>
      <c r="O208" s="133" t="s">
        <v>727</v>
      </c>
      <c r="P208" s="134">
        <v>1</v>
      </c>
      <c r="Q208" s="134">
        <v>0</v>
      </c>
      <c r="R208" s="148"/>
      <c r="T208" s="405"/>
      <c r="U208" s="376" t="s">
        <v>511</v>
      </c>
      <c r="V208" s="363">
        <v>0</v>
      </c>
      <c r="W208" s="363">
        <v>0</v>
      </c>
      <c r="X208" s="363">
        <v>0</v>
      </c>
      <c r="Y208" s="363">
        <v>0</v>
      </c>
      <c r="Z208" s="363">
        <v>0</v>
      </c>
      <c r="AA208" s="363">
        <v>2</v>
      </c>
      <c r="AB208" s="282">
        <v>3</v>
      </c>
      <c r="AC208" s="282">
        <v>3</v>
      </c>
      <c r="AD208" s="282">
        <v>9</v>
      </c>
      <c r="AE208" s="282">
        <v>0</v>
      </c>
      <c r="AF208" s="364"/>
      <c r="AG208" s="282"/>
      <c r="AH208" s="282"/>
      <c r="AI208" s="406">
        <f t="shared" si="5"/>
        <v>17</v>
      </c>
      <c r="AJ208" s="406"/>
      <c r="AK208" s="326" t="s">
        <v>1728</v>
      </c>
    </row>
    <row r="209" spans="1:36" ht="20.25">
      <c r="A209" s="275"/>
      <c r="B209" s="275"/>
      <c r="C209" s="88"/>
      <c r="D209" s="148"/>
      <c r="E209" s="275"/>
      <c r="F209" s="275"/>
      <c r="G209" s="88" t="s">
        <v>1121</v>
      </c>
      <c r="H209" s="148">
        <v>1</v>
      </c>
      <c r="I209" s="276"/>
      <c r="J209" s="275"/>
      <c r="K209" s="148"/>
      <c r="L209" s="148"/>
      <c r="M209" s="37" t="s">
        <v>1839</v>
      </c>
      <c r="N209" s="275">
        <v>1</v>
      </c>
      <c r="O209" s="133" t="s">
        <v>1108</v>
      </c>
      <c r="P209" s="134">
        <v>2</v>
      </c>
      <c r="Q209" s="134">
        <v>3</v>
      </c>
      <c r="R209" s="148"/>
      <c r="T209" s="405"/>
      <c r="U209" s="373" t="s">
        <v>1840</v>
      </c>
      <c r="V209" s="282">
        <v>0</v>
      </c>
      <c r="W209" s="282">
        <v>0</v>
      </c>
      <c r="X209" s="282">
        <v>0</v>
      </c>
      <c r="Y209" s="282">
        <v>0</v>
      </c>
      <c r="Z209" s="282">
        <v>0</v>
      </c>
      <c r="AA209" s="282">
        <v>1</v>
      </c>
      <c r="AB209" s="282">
        <v>0</v>
      </c>
      <c r="AC209" s="282">
        <v>0</v>
      </c>
      <c r="AD209" s="282">
        <v>0</v>
      </c>
      <c r="AE209" s="282">
        <v>0</v>
      </c>
      <c r="AF209" s="364"/>
      <c r="AG209" s="282"/>
      <c r="AH209" s="282"/>
      <c r="AI209" s="406">
        <f t="shared" si="5"/>
        <v>1</v>
      </c>
      <c r="AJ209" s="406"/>
    </row>
    <row r="210" spans="1:36" ht="30.75">
      <c r="A210" s="275"/>
      <c r="B210" s="275"/>
      <c r="C210" s="88"/>
      <c r="D210" s="148"/>
      <c r="E210" s="275"/>
      <c r="F210" s="275"/>
      <c r="G210" s="88" t="s">
        <v>1720</v>
      </c>
      <c r="H210" s="148">
        <v>1</v>
      </c>
      <c r="I210" s="276"/>
      <c r="J210" s="275"/>
      <c r="K210" s="148"/>
      <c r="L210" s="148"/>
      <c r="M210" s="37" t="s">
        <v>1841</v>
      </c>
      <c r="N210" s="275">
        <v>1</v>
      </c>
      <c r="O210" s="133" t="s">
        <v>825</v>
      </c>
      <c r="P210" s="134">
        <v>1</v>
      </c>
      <c r="Q210" s="134">
        <v>0</v>
      </c>
      <c r="R210" s="148"/>
      <c r="T210" s="405"/>
      <c r="U210" s="373" t="s">
        <v>1842</v>
      </c>
      <c r="V210" s="282">
        <v>0</v>
      </c>
      <c r="W210" s="282">
        <v>0</v>
      </c>
      <c r="X210" s="282">
        <v>0</v>
      </c>
      <c r="Y210" s="282">
        <v>0</v>
      </c>
      <c r="Z210" s="282">
        <v>0</v>
      </c>
      <c r="AA210" s="282">
        <v>1</v>
      </c>
      <c r="AB210" s="282">
        <v>0</v>
      </c>
      <c r="AC210" s="282">
        <v>0</v>
      </c>
      <c r="AD210" s="282">
        <v>0</v>
      </c>
      <c r="AE210" s="282">
        <v>0</v>
      </c>
      <c r="AF210" s="364"/>
      <c r="AG210" s="282"/>
      <c r="AH210" s="282"/>
      <c r="AI210" s="406">
        <f t="shared" si="5"/>
        <v>1</v>
      </c>
      <c r="AJ210" s="406"/>
    </row>
    <row r="211" spans="1:36" ht="20.25">
      <c r="A211" s="275"/>
      <c r="B211" s="275"/>
      <c r="C211" s="88"/>
      <c r="D211" s="148"/>
      <c r="E211" s="275"/>
      <c r="F211" s="275"/>
      <c r="G211" s="88" t="s">
        <v>117</v>
      </c>
      <c r="H211" s="148">
        <v>1</v>
      </c>
      <c r="I211" s="276"/>
      <c r="J211" s="275"/>
      <c r="K211" s="148"/>
      <c r="L211" s="148"/>
      <c r="M211" s="37" t="s">
        <v>1843</v>
      </c>
      <c r="N211" s="275">
        <v>2</v>
      </c>
      <c r="O211" s="133" t="s">
        <v>974</v>
      </c>
      <c r="P211" s="134">
        <v>1</v>
      </c>
      <c r="Q211" s="134">
        <v>3</v>
      </c>
      <c r="R211" s="148"/>
      <c r="T211" s="405"/>
      <c r="U211" s="373" t="s">
        <v>436</v>
      </c>
      <c r="V211" s="282">
        <v>0</v>
      </c>
      <c r="W211" s="282">
        <v>0</v>
      </c>
      <c r="X211" s="282">
        <v>0</v>
      </c>
      <c r="Y211" s="282">
        <v>0</v>
      </c>
      <c r="Z211" s="282">
        <v>0</v>
      </c>
      <c r="AA211" s="282">
        <v>2</v>
      </c>
      <c r="AB211" s="282">
        <v>0</v>
      </c>
      <c r="AC211" s="282">
        <v>3</v>
      </c>
      <c r="AD211" s="282">
        <v>0</v>
      </c>
      <c r="AE211" s="282">
        <v>1</v>
      </c>
      <c r="AF211" s="364"/>
      <c r="AG211" s="282"/>
      <c r="AH211" s="282"/>
      <c r="AI211" s="406">
        <f t="shared" si="5"/>
        <v>5</v>
      </c>
      <c r="AJ211" s="406"/>
    </row>
    <row r="212" spans="1:36" ht="20.25">
      <c r="A212" s="275"/>
      <c r="B212" s="275"/>
      <c r="C212" s="88"/>
      <c r="D212" s="148"/>
      <c r="E212" s="275"/>
      <c r="F212" s="275"/>
      <c r="G212" s="88" t="s">
        <v>112</v>
      </c>
      <c r="H212" s="148">
        <v>2</v>
      </c>
      <c r="I212" s="276"/>
      <c r="J212" s="275"/>
      <c r="K212" s="148"/>
      <c r="L212" s="148"/>
      <c r="M212" s="37" t="s">
        <v>297</v>
      </c>
      <c r="N212" s="275">
        <v>1</v>
      </c>
      <c r="O212" s="133" t="s">
        <v>1010</v>
      </c>
      <c r="P212" s="134">
        <v>1</v>
      </c>
      <c r="Q212" s="134">
        <v>30</v>
      </c>
      <c r="R212" s="148"/>
      <c r="T212" s="405"/>
      <c r="U212" s="373" t="s">
        <v>455</v>
      </c>
      <c r="V212" s="282">
        <v>0</v>
      </c>
      <c r="W212" s="282">
        <v>0</v>
      </c>
      <c r="X212" s="282">
        <v>0</v>
      </c>
      <c r="Y212" s="282">
        <v>0</v>
      </c>
      <c r="Z212" s="282">
        <v>0</v>
      </c>
      <c r="AA212" s="282">
        <v>2</v>
      </c>
      <c r="AB212" s="282">
        <v>0</v>
      </c>
      <c r="AC212" s="282">
        <v>0</v>
      </c>
      <c r="AD212" s="282">
        <v>0</v>
      </c>
      <c r="AE212" s="282">
        <v>0</v>
      </c>
      <c r="AF212" s="364"/>
      <c r="AG212" s="282"/>
      <c r="AH212" s="282"/>
      <c r="AI212" s="406">
        <f t="shared" si="5"/>
        <v>2</v>
      </c>
      <c r="AJ212" s="406"/>
    </row>
    <row r="213" spans="1:36" ht="15">
      <c r="A213" s="275"/>
      <c r="B213" s="275"/>
      <c r="C213" s="88"/>
      <c r="D213" s="148"/>
      <c r="E213" s="275"/>
      <c r="F213" s="275"/>
      <c r="G213" s="88" t="s">
        <v>1041</v>
      </c>
      <c r="H213" s="148">
        <v>1</v>
      </c>
      <c r="I213" s="276"/>
      <c r="J213" s="275"/>
      <c r="K213" s="148"/>
      <c r="L213" s="148"/>
      <c r="M213" s="37" t="s">
        <v>1125</v>
      </c>
      <c r="N213" s="275">
        <v>2</v>
      </c>
      <c r="O213" s="133" t="s">
        <v>1017</v>
      </c>
      <c r="P213" s="134">
        <v>1</v>
      </c>
      <c r="Q213" s="134">
        <v>0</v>
      </c>
      <c r="R213" s="148"/>
      <c r="T213" s="405"/>
      <c r="U213" s="373"/>
      <c r="V213" s="282"/>
      <c r="W213" s="282"/>
      <c r="X213" s="282"/>
      <c r="Y213" s="282"/>
      <c r="Z213" s="282"/>
      <c r="AA213" s="282"/>
      <c r="AB213" s="282"/>
      <c r="AC213" s="282"/>
      <c r="AD213" s="282"/>
      <c r="AE213" s="282"/>
      <c r="AF213" s="364"/>
      <c r="AG213" s="282"/>
      <c r="AH213" s="282"/>
      <c r="AI213" s="408"/>
      <c r="AJ213" s="408"/>
    </row>
    <row r="214" spans="1:36" ht="30">
      <c r="A214" s="275"/>
      <c r="B214" s="275"/>
      <c r="C214" s="88"/>
      <c r="D214" s="148"/>
      <c r="E214" s="275"/>
      <c r="F214" s="275"/>
      <c r="G214" s="88" t="s">
        <v>1014</v>
      </c>
      <c r="H214" s="148">
        <v>1</v>
      </c>
      <c r="I214" s="276"/>
      <c r="J214" s="275"/>
      <c r="K214" s="148"/>
      <c r="L214" s="148"/>
      <c r="M214" s="37" t="s">
        <v>78</v>
      </c>
      <c r="N214" s="275">
        <v>1</v>
      </c>
      <c r="O214" s="133" t="s">
        <v>1022</v>
      </c>
      <c r="P214" s="134">
        <v>1</v>
      </c>
      <c r="Q214" s="134">
        <v>0</v>
      </c>
      <c r="R214" s="148"/>
      <c r="T214" s="405"/>
      <c r="U214" s="373"/>
      <c r="V214" s="282"/>
      <c r="W214" s="282"/>
      <c r="X214" s="282"/>
      <c r="Y214" s="282"/>
      <c r="Z214" s="282"/>
      <c r="AA214" s="282"/>
      <c r="AB214" s="282"/>
      <c r="AC214" s="282"/>
      <c r="AD214" s="282"/>
      <c r="AE214" s="282"/>
      <c r="AF214" s="364"/>
      <c r="AG214" s="282"/>
      <c r="AH214" s="282"/>
      <c r="AI214" s="408"/>
      <c r="AJ214" s="408"/>
    </row>
    <row r="215" spans="1:36" ht="30">
      <c r="A215" s="275"/>
      <c r="B215" s="275"/>
      <c r="C215" s="88"/>
      <c r="D215" s="148"/>
      <c r="E215" s="275"/>
      <c r="F215" s="275"/>
      <c r="G215" s="88" t="s">
        <v>1844</v>
      </c>
      <c r="H215" s="148">
        <v>1</v>
      </c>
      <c r="I215" s="276"/>
      <c r="J215" s="275"/>
      <c r="K215" s="148"/>
      <c r="L215" s="148"/>
      <c r="M215" s="37" t="s">
        <v>1138</v>
      </c>
      <c r="N215" s="275">
        <v>1</v>
      </c>
      <c r="O215" s="133"/>
      <c r="P215" s="134"/>
      <c r="Q215" s="134"/>
      <c r="R215" s="148"/>
      <c r="T215" s="405"/>
      <c r="U215" s="373"/>
      <c r="V215" s="282"/>
      <c r="W215" s="282"/>
      <c r="X215" s="282"/>
      <c r="Y215" s="282"/>
      <c r="Z215" s="282"/>
      <c r="AA215" s="282"/>
      <c r="AB215" s="282"/>
      <c r="AC215" s="282"/>
      <c r="AD215" s="282"/>
      <c r="AE215" s="282"/>
      <c r="AF215" s="364"/>
      <c r="AG215" s="282"/>
      <c r="AH215" s="282"/>
      <c r="AI215" s="408"/>
      <c r="AJ215" s="408"/>
    </row>
    <row r="216" spans="1:36" ht="20.25">
      <c r="A216" s="275"/>
      <c r="B216" s="275"/>
      <c r="C216" s="88"/>
      <c r="D216" s="148"/>
      <c r="E216" s="275"/>
      <c r="F216" s="275"/>
      <c r="G216" s="88" t="s">
        <v>1082</v>
      </c>
      <c r="H216" s="148">
        <v>1</v>
      </c>
      <c r="I216" s="276"/>
      <c r="J216" s="275"/>
      <c r="K216" s="148"/>
      <c r="L216" s="148"/>
      <c r="M216" s="37"/>
      <c r="N216" s="275"/>
      <c r="O216" s="133" t="s">
        <v>1026</v>
      </c>
      <c r="P216" s="134">
        <v>1</v>
      </c>
      <c r="Q216" s="134">
        <v>0</v>
      </c>
      <c r="R216" s="148"/>
      <c r="T216" s="405"/>
      <c r="U216" s="373" t="s">
        <v>1697</v>
      </c>
      <c r="V216" s="282">
        <v>0</v>
      </c>
      <c r="W216" s="282">
        <v>0</v>
      </c>
      <c r="X216" s="282">
        <v>0</v>
      </c>
      <c r="Y216" s="282">
        <v>0</v>
      </c>
      <c r="Z216" s="282">
        <v>0</v>
      </c>
      <c r="AA216" s="282">
        <v>1</v>
      </c>
      <c r="AB216" s="282">
        <v>0</v>
      </c>
      <c r="AC216" s="282">
        <v>0</v>
      </c>
      <c r="AD216" s="282">
        <v>0</v>
      </c>
      <c r="AE216" s="282">
        <v>0</v>
      </c>
      <c r="AF216" s="364"/>
      <c r="AG216" s="282"/>
      <c r="AH216" s="282"/>
      <c r="AI216" s="406">
        <f t="shared" ref="AI216:AI235" si="6">V216+W216+X216+Y216+Z216+AA216+AB216+AC216+AD216+AF216</f>
        <v>1</v>
      </c>
      <c r="AJ216" s="406"/>
    </row>
    <row r="217" spans="1:36" ht="20.25">
      <c r="T217" s="405"/>
      <c r="U217" s="373" t="s">
        <v>811</v>
      </c>
      <c r="V217" s="282">
        <v>0</v>
      </c>
      <c r="W217" s="282">
        <v>0</v>
      </c>
      <c r="X217" s="282">
        <v>0</v>
      </c>
      <c r="Y217" s="282">
        <v>0</v>
      </c>
      <c r="Z217" s="282">
        <v>0</v>
      </c>
      <c r="AA217" s="282">
        <v>0</v>
      </c>
      <c r="AB217" s="282">
        <v>0</v>
      </c>
      <c r="AC217" s="282">
        <v>1</v>
      </c>
      <c r="AD217" s="282">
        <v>0</v>
      </c>
      <c r="AE217" s="282">
        <v>0</v>
      </c>
      <c r="AF217" s="364"/>
      <c r="AG217" s="282"/>
      <c r="AH217" s="282"/>
      <c r="AI217" s="406">
        <f t="shared" si="6"/>
        <v>1</v>
      </c>
      <c r="AJ217" s="406"/>
    </row>
    <row r="218" spans="1:36" ht="20.25">
      <c r="A218" s="283"/>
      <c r="B218" s="330">
        <f>SUM(B191:B217)</f>
        <v>40</v>
      </c>
      <c r="C218" s="283"/>
      <c r="D218" s="330">
        <f>SUM(D190:D206)</f>
        <v>40</v>
      </c>
      <c r="E218" s="284" t="s">
        <v>1706</v>
      </c>
      <c r="F218" s="330">
        <f>SUM(F190:F206)</f>
        <v>40</v>
      </c>
      <c r="G218" s="332"/>
      <c r="H218" s="330">
        <f>SUM(H190:H216)</f>
        <v>40</v>
      </c>
      <c r="I218" s="283"/>
      <c r="J218" s="330">
        <f>SUM(J190:J216)</f>
        <v>40</v>
      </c>
      <c r="K218" s="283"/>
      <c r="L218" s="330">
        <f>SUM(L190:L192)</f>
        <v>40</v>
      </c>
      <c r="M218" s="333"/>
      <c r="N218" s="330">
        <f>SUM(N190:N216)</f>
        <v>33</v>
      </c>
      <c r="O218" s="283"/>
      <c r="P218" s="288">
        <f>P190+P191+P192+P193+P194+P195+P196+P197+P198+P199+P200+P201+P202+P203+P204+P205+P206+P207+P208+P209+P210+P211+P212+P213+P214+P216</f>
        <v>40</v>
      </c>
      <c r="Q218" s="288">
        <f>SUM(Q190:Q216)</f>
        <v>163</v>
      </c>
      <c r="R218" s="283"/>
      <c r="T218" s="405"/>
      <c r="U218" s="373" t="s">
        <v>593</v>
      </c>
      <c r="V218" s="282">
        <v>0</v>
      </c>
      <c r="W218" s="282">
        <v>0</v>
      </c>
      <c r="X218" s="282">
        <v>0</v>
      </c>
      <c r="Y218" s="282">
        <v>0</v>
      </c>
      <c r="Z218" s="282">
        <v>0</v>
      </c>
      <c r="AA218" s="282">
        <v>0</v>
      </c>
      <c r="AB218" s="282">
        <v>1</v>
      </c>
      <c r="AC218" s="282">
        <v>0</v>
      </c>
      <c r="AD218" s="282">
        <v>0</v>
      </c>
      <c r="AE218" s="282">
        <v>0</v>
      </c>
      <c r="AF218" s="364"/>
      <c r="AG218" s="282"/>
      <c r="AH218" s="282"/>
      <c r="AI218" s="406">
        <f t="shared" si="6"/>
        <v>1</v>
      </c>
      <c r="AJ218" s="406"/>
    </row>
    <row r="219" spans="1:36" ht="20.25">
      <c r="T219" s="405"/>
      <c r="U219" s="373" t="s">
        <v>1725</v>
      </c>
      <c r="V219" s="282">
        <v>0</v>
      </c>
      <c r="W219" s="282">
        <v>0</v>
      </c>
      <c r="X219" s="282">
        <v>0</v>
      </c>
      <c r="Y219" s="282">
        <v>0</v>
      </c>
      <c r="Z219" s="282">
        <v>0</v>
      </c>
      <c r="AA219" s="282">
        <v>0</v>
      </c>
      <c r="AB219" s="282">
        <v>1</v>
      </c>
      <c r="AC219" s="282">
        <v>1</v>
      </c>
      <c r="AD219" s="282">
        <v>0</v>
      </c>
      <c r="AE219" s="282">
        <v>0</v>
      </c>
      <c r="AF219" s="364"/>
      <c r="AG219" s="282"/>
      <c r="AH219" s="282"/>
      <c r="AI219" s="406">
        <f t="shared" si="6"/>
        <v>2</v>
      </c>
      <c r="AJ219" s="406"/>
    </row>
    <row r="220" spans="1:36" ht="26.25">
      <c r="A220" s="407">
        <v>2024</v>
      </c>
      <c r="B220" s="407"/>
      <c r="C220" s="407"/>
      <c r="D220" s="407"/>
      <c r="E220" s="407"/>
      <c r="F220" s="407"/>
      <c r="G220" s="407"/>
      <c r="H220" s="407"/>
      <c r="I220" s="407"/>
      <c r="J220" s="407"/>
      <c r="K220" s="407"/>
      <c r="L220" s="407"/>
      <c r="M220" s="407"/>
      <c r="N220" s="407"/>
      <c r="O220" s="407"/>
      <c r="P220" s="407"/>
      <c r="Q220" s="407"/>
      <c r="R220" s="407"/>
      <c r="T220" s="405"/>
      <c r="U220" s="373" t="s">
        <v>794</v>
      </c>
      <c r="V220" s="282">
        <v>0</v>
      </c>
      <c r="W220" s="282">
        <v>0</v>
      </c>
      <c r="X220" s="282">
        <v>0</v>
      </c>
      <c r="Y220" s="282">
        <v>0</v>
      </c>
      <c r="Z220" s="282">
        <v>0</v>
      </c>
      <c r="AA220" s="282">
        <v>0</v>
      </c>
      <c r="AB220" s="282">
        <v>0</v>
      </c>
      <c r="AC220" s="282">
        <v>1</v>
      </c>
      <c r="AD220" s="282">
        <v>0</v>
      </c>
      <c r="AE220" s="282">
        <v>0</v>
      </c>
      <c r="AF220" s="364"/>
      <c r="AG220" s="282"/>
      <c r="AH220" s="282"/>
      <c r="AI220" s="406">
        <f t="shared" si="6"/>
        <v>1</v>
      </c>
      <c r="AJ220" s="406"/>
    </row>
    <row r="221" spans="1:36" ht="29.25" customHeight="1">
      <c r="A221" s="11" t="s">
        <v>1647</v>
      </c>
      <c r="B221" s="11"/>
      <c r="C221" s="11" t="s">
        <v>1648</v>
      </c>
      <c r="D221" s="11"/>
      <c r="E221" s="11" t="s">
        <v>1649</v>
      </c>
      <c r="F221" s="11"/>
      <c r="G221" s="11" t="s">
        <v>1650</v>
      </c>
      <c r="H221" s="11"/>
      <c r="I221" s="11" t="s">
        <v>13</v>
      </c>
      <c r="J221" s="11"/>
      <c r="K221" s="11" t="s">
        <v>1651</v>
      </c>
      <c r="L221" s="11"/>
      <c r="M221" s="11" t="s">
        <v>14</v>
      </c>
      <c r="N221" s="11"/>
      <c r="O221" s="11" t="s">
        <v>1652</v>
      </c>
      <c r="P221" s="11"/>
      <c r="Q221" s="274" t="s">
        <v>1653</v>
      </c>
      <c r="R221" s="274" t="s">
        <v>1654</v>
      </c>
      <c r="T221" s="405"/>
      <c r="U221" s="373" t="s">
        <v>1700</v>
      </c>
      <c r="V221" s="282">
        <v>0</v>
      </c>
      <c r="W221" s="282">
        <v>1</v>
      </c>
      <c r="X221" s="282">
        <v>0</v>
      </c>
      <c r="Y221" s="282">
        <v>0</v>
      </c>
      <c r="Z221" s="282">
        <v>0</v>
      </c>
      <c r="AA221" s="282">
        <v>0</v>
      </c>
      <c r="AB221" s="282">
        <v>0</v>
      </c>
      <c r="AC221" s="282">
        <v>1</v>
      </c>
      <c r="AD221" s="282">
        <v>0</v>
      </c>
      <c r="AE221" s="282">
        <v>0</v>
      </c>
      <c r="AF221" s="364"/>
      <c r="AG221" s="282"/>
      <c r="AH221" s="282"/>
      <c r="AI221" s="406">
        <f t="shared" si="6"/>
        <v>2</v>
      </c>
      <c r="AJ221" s="406"/>
    </row>
    <row r="222" spans="1:36" ht="30">
      <c r="A222" s="275"/>
      <c r="B222" s="275"/>
      <c r="C222" s="44" t="s">
        <v>74</v>
      </c>
      <c r="D222" s="148">
        <v>30</v>
      </c>
      <c r="E222" s="275" t="s">
        <v>1656</v>
      </c>
      <c r="F222" s="275">
        <v>3</v>
      </c>
      <c r="G222" s="88" t="s">
        <v>511</v>
      </c>
      <c r="H222" s="148">
        <v>3</v>
      </c>
      <c r="I222" s="377" t="s">
        <v>616</v>
      </c>
      <c r="J222" s="378">
        <v>4</v>
      </c>
      <c r="K222" s="148" t="s">
        <v>34</v>
      </c>
      <c r="L222" s="148">
        <v>39</v>
      </c>
      <c r="M222" s="377" t="s">
        <v>1845</v>
      </c>
      <c r="N222" s="378">
        <v>3</v>
      </c>
      <c r="O222" s="133" t="s">
        <v>35</v>
      </c>
      <c r="P222" s="134">
        <v>16</v>
      </c>
      <c r="Q222" s="134">
        <f>0+0+0+0+0+0</f>
        <v>0</v>
      </c>
      <c r="R222" s="148">
        <f>Q255</f>
        <v>111</v>
      </c>
      <c r="T222" s="405"/>
      <c r="U222" s="373" t="s">
        <v>1846</v>
      </c>
      <c r="V222" s="282">
        <v>0</v>
      </c>
      <c r="W222" s="282">
        <v>0</v>
      </c>
      <c r="X222" s="282">
        <v>0</v>
      </c>
      <c r="Y222" s="282">
        <v>0</v>
      </c>
      <c r="Z222" s="282">
        <v>0</v>
      </c>
      <c r="AA222" s="282">
        <v>0</v>
      </c>
      <c r="AB222" s="282">
        <v>0</v>
      </c>
      <c r="AC222" s="282">
        <v>1</v>
      </c>
      <c r="AD222" s="282">
        <v>0</v>
      </c>
      <c r="AE222" s="282">
        <v>0</v>
      </c>
      <c r="AF222" s="364"/>
      <c r="AG222" s="282"/>
      <c r="AH222" s="282"/>
      <c r="AI222" s="406">
        <f t="shared" si="6"/>
        <v>1</v>
      </c>
      <c r="AJ222" s="406"/>
    </row>
    <row r="223" spans="1:36" ht="30.75">
      <c r="A223" s="275" t="s">
        <v>1657</v>
      </c>
      <c r="B223" s="275">
        <v>40</v>
      </c>
      <c r="C223" s="44" t="s">
        <v>1256</v>
      </c>
      <c r="D223" s="148">
        <v>5</v>
      </c>
      <c r="E223" s="275" t="s">
        <v>1658</v>
      </c>
      <c r="F223" s="275">
        <v>2</v>
      </c>
      <c r="G223" s="44" t="s">
        <v>117</v>
      </c>
      <c r="H223" s="148">
        <v>1</v>
      </c>
      <c r="I223" s="379" t="s">
        <v>1145</v>
      </c>
      <c r="J223" s="378">
        <v>1</v>
      </c>
      <c r="K223" s="148" t="s">
        <v>144</v>
      </c>
      <c r="L223" s="148">
        <v>6</v>
      </c>
      <c r="M223" s="379" t="s">
        <v>250</v>
      </c>
      <c r="N223" s="378">
        <v>3</v>
      </c>
      <c r="O223" s="92" t="s">
        <v>1146</v>
      </c>
      <c r="P223" s="101">
        <v>1</v>
      </c>
      <c r="Q223" s="101">
        <v>0</v>
      </c>
      <c r="R223" s="148"/>
      <c r="T223" s="405"/>
      <c r="U223" s="373" t="s">
        <v>1847</v>
      </c>
      <c r="V223" s="282">
        <v>0</v>
      </c>
      <c r="W223" s="282">
        <v>0</v>
      </c>
      <c r="X223" s="282">
        <v>0</v>
      </c>
      <c r="Y223" s="282">
        <v>0</v>
      </c>
      <c r="Z223" s="282">
        <v>0</v>
      </c>
      <c r="AA223" s="282">
        <v>0</v>
      </c>
      <c r="AB223" s="282">
        <v>0</v>
      </c>
      <c r="AC223" s="282">
        <v>1</v>
      </c>
      <c r="AD223" s="282">
        <v>0</v>
      </c>
      <c r="AE223" s="282">
        <v>0</v>
      </c>
      <c r="AF223" s="364"/>
      <c r="AG223" s="282"/>
      <c r="AH223" s="282"/>
      <c r="AI223" s="406">
        <f t="shared" si="6"/>
        <v>1</v>
      </c>
      <c r="AJ223" s="406"/>
    </row>
    <row r="224" spans="1:36" ht="20.25">
      <c r="A224" s="275" t="s">
        <v>1783</v>
      </c>
      <c r="B224" s="275">
        <v>6</v>
      </c>
      <c r="C224" s="88" t="s">
        <v>156</v>
      </c>
      <c r="D224" s="148">
        <v>4</v>
      </c>
      <c r="E224" s="275" t="s">
        <v>1660</v>
      </c>
      <c r="F224" s="275">
        <v>5</v>
      </c>
      <c r="G224" s="88" t="s">
        <v>692</v>
      </c>
      <c r="H224" s="148">
        <v>2</v>
      </c>
      <c r="I224" s="377" t="s">
        <v>1848</v>
      </c>
      <c r="J224" s="378">
        <v>1</v>
      </c>
      <c r="K224" s="148" t="s">
        <v>1661</v>
      </c>
      <c r="L224" s="148">
        <v>1</v>
      </c>
      <c r="M224" s="379" t="s">
        <v>1849</v>
      </c>
      <c r="N224" s="378">
        <v>1</v>
      </c>
      <c r="O224" s="133" t="s">
        <v>1149</v>
      </c>
      <c r="P224" s="134">
        <v>1</v>
      </c>
      <c r="Q224" s="380">
        <v>30</v>
      </c>
      <c r="R224" s="348"/>
      <c r="T224" s="405"/>
      <c r="U224" s="373" t="s">
        <v>889</v>
      </c>
      <c r="V224" s="282">
        <v>0</v>
      </c>
      <c r="W224" s="282">
        <v>0</v>
      </c>
      <c r="X224" s="282">
        <v>0</v>
      </c>
      <c r="Y224" s="282">
        <v>0</v>
      </c>
      <c r="Z224" s="282">
        <v>0</v>
      </c>
      <c r="AA224" s="282">
        <v>0</v>
      </c>
      <c r="AB224" s="282">
        <v>0</v>
      </c>
      <c r="AC224" s="282">
        <v>0</v>
      </c>
      <c r="AD224" s="282">
        <v>1</v>
      </c>
      <c r="AE224" s="282">
        <v>0</v>
      </c>
      <c r="AF224" s="364"/>
      <c r="AG224" s="282"/>
      <c r="AH224" s="282"/>
      <c r="AI224" s="406">
        <f t="shared" si="6"/>
        <v>1</v>
      </c>
      <c r="AJ224" s="406"/>
    </row>
    <row r="225" spans="1:37" ht="30">
      <c r="A225" s="275"/>
      <c r="B225" s="275"/>
      <c r="C225" s="88" t="s">
        <v>1172</v>
      </c>
      <c r="D225" s="148">
        <v>1</v>
      </c>
      <c r="E225" s="275" t="s">
        <v>1662</v>
      </c>
      <c r="F225" s="275">
        <v>1</v>
      </c>
      <c r="G225" s="88" t="s">
        <v>1163</v>
      </c>
      <c r="H225" s="148">
        <v>2</v>
      </c>
      <c r="I225" s="377" t="s">
        <v>1850</v>
      </c>
      <c r="J225" s="378">
        <v>4</v>
      </c>
      <c r="K225" s="148"/>
      <c r="L225" s="148"/>
      <c r="M225" s="379" t="s">
        <v>1851</v>
      </c>
      <c r="N225" s="378">
        <v>2</v>
      </c>
      <c r="O225" s="133" t="s">
        <v>66</v>
      </c>
      <c r="P225" s="134">
        <v>2</v>
      </c>
      <c r="Q225" s="380">
        <f>0+14</f>
        <v>14</v>
      </c>
      <c r="R225" s="148"/>
      <c r="T225" s="405"/>
      <c r="U225" s="373" t="s">
        <v>909</v>
      </c>
      <c r="V225" s="282">
        <v>0</v>
      </c>
      <c r="W225" s="282">
        <v>0</v>
      </c>
      <c r="X225" s="282">
        <v>0</v>
      </c>
      <c r="Y225" s="282">
        <v>0</v>
      </c>
      <c r="Z225" s="282">
        <v>0</v>
      </c>
      <c r="AA225" s="282">
        <v>0</v>
      </c>
      <c r="AB225" s="282">
        <v>0</v>
      </c>
      <c r="AC225" s="282">
        <v>0</v>
      </c>
      <c r="AD225" s="282">
        <v>2</v>
      </c>
      <c r="AE225" s="282">
        <v>0</v>
      </c>
      <c r="AF225" s="364"/>
      <c r="AG225" s="282"/>
      <c r="AH225" s="282"/>
      <c r="AI225" s="406">
        <f t="shared" si="6"/>
        <v>2</v>
      </c>
      <c r="AJ225" s="406"/>
    </row>
    <row r="226" spans="1:37" ht="20.25">
      <c r="A226" s="275"/>
      <c r="B226" s="275"/>
      <c r="C226" s="88" t="s">
        <v>1852</v>
      </c>
      <c r="D226" s="148">
        <v>2</v>
      </c>
      <c r="E226" s="275" t="s">
        <v>1663</v>
      </c>
      <c r="F226" s="275">
        <v>4</v>
      </c>
      <c r="G226" s="44" t="s">
        <v>287</v>
      </c>
      <c r="H226" s="148">
        <v>5</v>
      </c>
      <c r="I226" s="377" t="s">
        <v>1045</v>
      </c>
      <c r="J226" s="378">
        <v>3</v>
      </c>
      <c r="K226" s="148"/>
      <c r="L226" s="148"/>
      <c r="M226" s="377" t="s">
        <v>297</v>
      </c>
      <c r="N226" s="378">
        <v>2</v>
      </c>
      <c r="O226" s="133" t="s">
        <v>145</v>
      </c>
      <c r="P226" s="134">
        <v>1</v>
      </c>
      <c r="Q226" s="380">
        <v>15</v>
      </c>
      <c r="R226" s="148"/>
      <c r="T226" s="405"/>
      <c r="U226" s="373" t="s">
        <v>977</v>
      </c>
      <c r="V226" s="282">
        <v>0</v>
      </c>
      <c r="W226" s="282">
        <v>0</v>
      </c>
      <c r="X226" s="282">
        <v>0</v>
      </c>
      <c r="Y226" s="282">
        <v>0</v>
      </c>
      <c r="Z226" s="282">
        <v>0</v>
      </c>
      <c r="AA226" s="282">
        <v>0</v>
      </c>
      <c r="AB226" s="282">
        <v>0</v>
      </c>
      <c r="AC226" s="282">
        <v>0</v>
      </c>
      <c r="AD226" s="282">
        <v>0</v>
      </c>
      <c r="AE226" s="282">
        <v>1</v>
      </c>
      <c r="AF226" s="364"/>
      <c r="AG226" s="282"/>
      <c r="AH226" s="282"/>
      <c r="AI226" s="406">
        <f t="shared" si="6"/>
        <v>0</v>
      </c>
      <c r="AJ226" s="406"/>
    </row>
    <row r="227" spans="1:37" ht="30">
      <c r="A227" s="275"/>
      <c r="B227" s="275"/>
      <c r="C227" s="88" t="s">
        <v>1187</v>
      </c>
      <c r="D227" s="148">
        <v>1</v>
      </c>
      <c r="E227" s="275" t="s">
        <v>1664</v>
      </c>
      <c r="F227" s="275">
        <v>6</v>
      </c>
      <c r="G227" s="88" t="s">
        <v>811</v>
      </c>
      <c r="H227" s="148">
        <v>1</v>
      </c>
      <c r="I227" s="377" t="s">
        <v>1169</v>
      </c>
      <c r="J227" s="378">
        <v>1</v>
      </c>
      <c r="K227" s="148"/>
      <c r="L227" s="148"/>
      <c r="M227" s="379" t="s">
        <v>1839</v>
      </c>
      <c r="N227" s="378">
        <v>4</v>
      </c>
      <c r="O227" s="133" t="s">
        <v>261</v>
      </c>
      <c r="P227" s="134">
        <v>1</v>
      </c>
      <c r="Q227" s="380">
        <v>7</v>
      </c>
      <c r="R227" s="148"/>
      <c r="T227" s="405"/>
      <c r="U227" s="373" t="s">
        <v>922</v>
      </c>
      <c r="V227" s="282">
        <v>0</v>
      </c>
      <c r="W227" s="282">
        <v>0</v>
      </c>
      <c r="X227" s="282">
        <v>0</v>
      </c>
      <c r="Y227" s="282">
        <v>0</v>
      </c>
      <c r="Z227" s="282">
        <v>0</v>
      </c>
      <c r="AA227" s="282">
        <v>0</v>
      </c>
      <c r="AB227" s="282">
        <v>0</v>
      </c>
      <c r="AC227" s="282">
        <v>0</v>
      </c>
      <c r="AD227" s="282">
        <v>1</v>
      </c>
      <c r="AE227" s="282">
        <v>0</v>
      </c>
      <c r="AF227" s="364"/>
      <c r="AG227" s="282"/>
      <c r="AH227" s="282"/>
      <c r="AI227" s="406">
        <f t="shared" si="6"/>
        <v>1</v>
      </c>
      <c r="AJ227" s="406"/>
    </row>
    <row r="228" spans="1:37" ht="30">
      <c r="A228" s="275"/>
      <c r="B228" s="275"/>
      <c r="C228" s="88" t="s">
        <v>1240</v>
      </c>
      <c r="D228" s="148">
        <v>1</v>
      </c>
      <c r="E228" s="275" t="s">
        <v>1665</v>
      </c>
      <c r="F228" s="275">
        <v>5</v>
      </c>
      <c r="G228" s="88" t="s">
        <v>1853</v>
      </c>
      <c r="H228" s="148">
        <v>2</v>
      </c>
      <c r="I228" s="377" t="s">
        <v>1174</v>
      </c>
      <c r="J228" s="378">
        <v>4</v>
      </c>
      <c r="K228" s="148"/>
      <c r="L228" s="148"/>
      <c r="M228" s="379" t="s">
        <v>1854</v>
      </c>
      <c r="N228" s="378">
        <v>1</v>
      </c>
      <c r="O228" s="133" t="s">
        <v>1175</v>
      </c>
      <c r="P228" s="134">
        <v>1</v>
      </c>
      <c r="Q228" s="380">
        <v>2</v>
      </c>
      <c r="R228" s="274" t="s">
        <v>1855</v>
      </c>
      <c r="T228" s="405"/>
      <c r="U228" s="373" t="s">
        <v>933</v>
      </c>
      <c r="V228" s="282">
        <v>0</v>
      </c>
      <c r="W228" s="282">
        <v>0</v>
      </c>
      <c r="X228" s="282">
        <v>0</v>
      </c>
      <c r="Y228" s="282">
        <v>0</v>
      </c>
      <c r="Z228" s="282">
        <v>0</v>
      </c>
      <c r="AA228" s="282">
        <v>0</v>
      </c>
      <c r="AB228" s="282">
        <v>0</v>
      </c>
      <c r="AC228" s="282">
        <v>0</v>
      </c>
      <c r="AD228" s="282">
        <v>1</v>
      </c>
      <c r="AE228" s="282">
        <v>0</v>
      </c>
      <c r="AF228" s="364"/>
      <c r="AG228" s="282"/>
      <c r="AH228" s="282"/>
      <c r="AI228" s="406">
        <f t="shared" si="6"/>
        <v>1</v>
      </c>
      <c r="AJ228" s="406"/>
    </row>
    <row r="229" spans="1:37" ht="20.25">
      <c r="A229" s="275"/>
      <c r="B229" s="275"/>
      <c r="C229" s="88" t="s">
        <v>1856</v>
      </c>
      <c r="D229" s="148">
        <v>1</v>
      </c>
      <c r="E229" s="275" t="s">
        <v>1666</v>
      </c>
      <c r="F229" s="275">
        <v>0</v>
      </c>
      <c r="G229" s="88" t="s">
        <v>970</v>
      </c>
      <c r="H229" s="148">
        <v>6</v>
      </c>
      <c r="I229" s="377" t="s">
        <v>1180</v>
      </c>
      <c r="J229" s="378">
        <v>1</v>
      </c>
      <c r="K229" s="148"/>
      <c r="L229" s="148"/>
      <c r="M229" s="379" t="s">
        <v>1189</v>
      </c>
      <c r="N229" s="378">
        <v>1</v>
      </c>
      <c r="O229" s="133" t="s">
        <v>104</v>
      </c>
      <c r="P229" s="134">
        <v>1</v>
      </c>
      <c r="Q229" s="380">
        <v>3</v>
      </c>
      <c r="R229" s="348">
        <v>14</v>
      </c>
      <c r="T229" s="405"/>
      <c r="U229" s="373" t="s">
        <v>1857</v>
      </c>
      <c r="V229" s="282">
        <v>0</v>
      </c>
      <c r="W229" s="282">
        <v>0</v>
      </c>
      <c r="X229" s="282">
        <v>0</v>
      </c>
      <c r="Y229" s="282">
        <v>0</v>
      </c>
      <c r="Z229" s="282">
        <v>0</v>
      </c>
      <c r="AA229" s="282">
        <v>0</v>
      </c>
      <c r="AB229" s="282">
        <v>0</v>
      </c>
      <c r="AC229" s="282">
        <v>0</v>
      </c>
      <c r="AD229" s="282">
        <v>1</v>
      </c>
      <c r="AE229" s="282">
        <v>0</v>
      </c>
      <c r="AF229" s="364"/>
      <c r="AG229" s="282"/>
      <c r="AH229" s="282"/>
      <c r="AI229" s="406">
        <f t="shared" si="6"/>
        <v>1</v>
      </c>
      <c r="AJ229" s="406"/>
    </row>
    <row r="230" spans="1:37" ht="20.25">
      <c r="A230" s="275"/>
      <c r="B230" s="275"/>
      <c r="C230" s="88" t="s">
        <v>81</v>
      </c>
      <c r="D230" s="148">
        <v>1</v>
      </c>
      <c r="E230" s="275" t="s">
        <v>1667</v>
      </c>
      <c r="F230" s="275">
        <v>5</v>
      </c>
      <c r="G230" s="88" t="s">
        <v>1208</v>
      </c>
      <c r="H230" s="148">
        <v>1</v>
      </c>
      <c r="I230" s="377" t="s">
        <v>1858</v>
      </c>
      <c r="J230" s="378">
        <v>13</v>
      </c>
      <c r="K230" s="148"/>
      <c r="L230" s="148"/>
      <c r="M230" s="379" t="s">
        <v>222</v>
      </c>
      <c r="N230" s="378">
        <v>1</v>
      </c>
      <c r="O230" s="133" t="s">
        <v>1159</v>
      </c>
      <c r="P230" s="356">
        <v>5</v>
      </c>
      <c r="Q230" s="134">
        <f>0+0+0</f>
        <v>0</v>
      </c>
      <c r="R230" s="148"/>
      <c r="T230" s="405"/>
      <c r="U230" s="373" t="s">
        <v>787</v>
      </c>
      <c r="V230" s="282">
        <v>0</v>
      </c>
      <c r="W230" s="282">
        <v>0</v>
      </c>
      <c r="X230" s="282">
        <v>0</v>
      </c>
      <c r="Y230" s="282">
        <v>0</v>
      </c>
      <c r="Z230" s="282">
        <v>0</v>
      </c>
      <c r="AA230" s="282">
        <v>0</v>
      </c>
      <c r="AB230" s="282">
        <v>2</v>
      </c>
      <c r="AC230" s="282">
        <v>1</v>
      </c>
      <c r="AD230" s="282">
        <v>0</v>
      </c>
      <c r="AE230" s="282">
        <v>0</v>
      </c>
      <c r="AF230" s="364"/>
      <c r="AG230" s="282"/>
      <c r="AH230" s="282"/>
      <c r="AI230" s="406">
        <f t="shared" si="6"/>
        <v>3</v>
      </c>
      <c r="AJ230" s="406"/>
    </row>
    <row r="231" spans="1:37" ht="20.25">
      <c r="A231" s="275"/>
      <c r="B231" s="275"/>
      <c r="C231" s="88"/>
      <c r="D231" s="148"/>
      <c r="E231" s="275" t="s">
        <v>1668</v>
      </c>
      <c r="F231" s="275">
        <v>3</v>
      </c>
      <c r="G231" s="88" t="s">
        <v>1203</v>
      </c>
      <c r="H231" s="148">
        <v>1</v>
      </c>
      <c r="I231" s="377" t="s">
        <v>776</v>
      </c>
      <c r="J231" s="378">
        <v>1</v>
      </c>
      <c r="K231" s="148"/>
      <c r="L231" s="148"/>
      <c r="M231" s="379" t="s">
        <v>1207</v>
      </c>
      <c r="N231" s="378">
        <v>2</v>
      </c>
      <c r="O231" s="133" t="s">
        <v>1190</v>
      </c>
      <c r="P231" s="134">
        <v>1</v>
      </c>
      <c r="Q231" s="134">
        <v>0</v>
      </c>
      <c r="R231" s="148"/>
      <c r="T231" s="405"/>
      <c r="U231" s="373" t="s">
        <v>496</v>
      </c>
      <c r="V231" s="282">
        <v>0</v>
      </c>
      <c r="W231" s="282">
        <v>0</v>
      </c>
      <c r="X231" s="282">
        <v>0</v>
      </c>
      <c r="Y231" s="282">
        <v>0</v>
      </c>
      <c r="Z231" s="282">
        <v>0</v>
      </c>
      <c r="AA231" s="282">
        <v>0</v>
      </c>
      <c r="AB231" s="282">
        <v>0</v>
      </c>
      <c r="AC231" s="282">
        <v>0</v>
      </c>
      <c r="AD231" s="282">
        <v>0</v>
      </c>
      <c r="AE231" s="282">
        <v>1</v>
      </c>
      <c r="AF231" s="364"/>
      <c r="AG231" s="282"/>
      <c r="AH231" s="282"/>
      <c r="AI231" s="406">
        <f t="shared" si="6"/>
        <v>0</v>
      </c>
      <c r="AJ231" s="406"/>
    </row>
    <row r="232" spans="1:37" ht="20.25">
      <c r="A232" s="275"/>
      <c r="B232" s="275"/>
      <c r="C232" s="88"/>
      <c r="D232" s="148"/>
      <c r="E232" s="275" t="s">
        <v>1669</v>
      </c>
      <c r="F232" s="275">
        <v>10</v>
      </c>
      <c r="G232" s="88" t="s">
        <v>1859</v>
      </c>
      <c r="H232" s="148">
        <v>1</v>
      </c>
      <c r="I232" s="377" t="s">
        <v>1194</v>
      </c>
      <c r="J232" s="378">
        <v>1</v>
      </c>
      <c r="K232" s="148"/>
      <c r="L232" s="148"/>
      <c r="M232" s="379" t="s">
        <v>590</v>
      </c>
      <c r="N232" s="378">
        <v>2</v>
      </c>
      <c r="O232" s="133" t="s">
        <v>1022</v>
      </c>
      <c r="P232" s="134">
        <v>1</v>
      </c>
      <c r="Q232" s="381">
        <v>3</v>
      </c>
      <c r="R232" s="148"/>
      <c r="T232" s="405"/>
      <c r="U232" s="373" t="s">
        <v>997</v>
      </c>
      <c r="V232" s="282">
        <v>0</v>
      </c>
      <c r="W232" s="282">
        <v>0</v>
      </c>
      <c r="X232" s="282">
        <v>0</v>
      </c>
      <c r="Y232" s="282">
        <v>0</v>
      </c>
      <c r="Z232" s="282">
        <v>0</v>
      </c>
      <c r="AA232" s="282">
        <v>0</v>
      </c>
      <c r="AB232" s="282">
        <v>0</v>
      </c>
      <c r="AC232" s="282">
        <v>0</v>
      </c>
      <c r="AD232" s="282">
        <v>0</v>
      </c>
      <c r="AE232" s="282">
        <v>1</v>
      </c>
      <c r="AF232" s="364"/>
      <c r="AG232" s="282"/>
      <c r="AH232" s="282"/>
      <c r="AI232" s="406">
        <f t="shared" si="6"/>
        <v>0</v>
      </c>
      <c r="AJ232" s="406"/>
    </row>
    <row r="233" spans="1:37" ht="20.25">
      <c r="A233" s="275"/>
      <c r="B233" s="275"/>
      <c r="C233" s="88"/>
      <c r="D233" s="148"/>
      <c r="E233" s="275" t="s">
        <v>1670</v>
      </c>
      <c r="F233" s="275">
        <v>2</v>
      </c>
      <c r="G233" s="88" t="s">
        <v>1136</v>
      </c>
      <c r="H233" s="148">
        <v>2</v>
      </c>
      <c r="I233" s="377" t="s">
        <v>1221</v>
      </c>
      <c r="J233" s="378">
        <v>3</v>
      </c>
      <c r="K233" s="148"/>
      <c r="L233" s="148"/>
      <c r="M233" s="379" t="s">
        <v>1860</v>
      </c>
      <c r="N233" s="378">
        <v>1</v>
      </c>
      <c r="O233" s="133" t="s">
        <v>974</v>
      </c>
      <c r="P233" s="356">
        <v>1</v>
      </c>
      <c r="Q233" s="380">
        <v>3</v>
      </c>
      <c r="R233" s="358"/>
      <c r="T233" s="405"/>
      <c r="U233" s="373" t="s">
        <v>1014</v>
      </c>
      <c r="V233" s="282">
        <v>0</v>
      </c>
      <c r="W233" s="282">
        <v>0</v>
      </c>
      <c r="X233" s="282">
        <v>0</v>
      </c>
      <c r="Y233" s="282">
        <v>0</v>
      </c>
      <c r="Z233" s="282">
        <v>0</v>
      </c>
      <c r="AA233" s="282">
        <v>0</v>
      </c>
      <c r="AB233" s="282">
        <v>0</v>
      </c>
      <c r="AC233" s="282">
        <v>0</v>
      </c>
      <c r="AD233" s="282">
        <v>0</v>
      </c>
      <c r="AE233" s="282">
        <v>1</v>
      </c>
      <c r="AF233" s="364"/>
      <c r="AG233" s="282"/>
      <c r="AH233" s="282"/>
      <c r="AI233" s="406">
        <f t="shared" si="6"/>
        <v>0</v>
      </c>
      <c r="AJ233" s="406"/>
    </row>
    <row r="234" spans="1:37" ht="20.25">
      <c r="A234" s="275"/>
      <c r="B234" s="275"/>
      <c r="C234" s="88"/>
      <c r="D234" s="148"/>
      <c r="E234" s="275"/>
      <c r="F234" s="275"/>
      <c r="G234" s="88" t="s">
        <v>1220</v>
      </c>
      <c r="H234" s="148">
        <v>3</v>
      </c>
      <c r="I234" s="377" t="s">
        <v>142</v>
      </c>
      <c r="J234" s="378">
        <v>1</v>
      </c>
      <c r="K234" s="148"/>
      <c r="L234" s="148"/>
      <c r="M234" s="379" t="s">
        <v>1204</v>
      </c>
      <c r="N234" s="378">
        <v>2</v>
      </c>
      <c r="O234" s="133" t="s">
        <v>848</v>
      </c>
      <c r="P234" s="359">
        <v>1</v>
      </c>
      <c r="Q234" s="380">
        <v>2</v>
      </c>
      <c r="R234" s="358"/>
      <c r="T234" s="405"/>
      <c r="U234" s="373" t="s">
        <v>986</v>
      </c>
      <c r="V234" s="282">
        <v>0</v>
      </c>
      <c r="W234" s="282">
        <v>0</v>
      </c>
      <c r="X234" s="282">
        <v>0</v>
      </c>
      <c r="Y234" s="282">
        <v>0</v>
      </c>
      <c r="Z234" s="282">
        <v>0</v>
      </c>
      <c r="AA234" s="282">
        <v>0</v>
      </c>
      <c r="AB234" s="282">
        <v>0</v>
      </c>
      <c r="AC234" s="282">
        <v>0</v>
      </c>
      <c r="AD234" s="282">
        <v>0</v>
      </c>
      <c r="AE234" s="282">
        <v>1</v>
      </c>
      <c r="AF234" s="364"/>
      <c r="AG234" s="282"/>
      <c r="AH234" s="282"/>
      <c r="AI234" s="406">
        <f t="shared" si="6"/>
        <v>0</v>
      </c>
      <c r="AJ234" s="406"/>
    </row>
    <row r="235" spans="1:37" ht="19.5" customHeight="1">
      <c r="A235" s="278"/>
      <c r="B235" s="278"/>
      <c r="C235" s="365"/>
      <c r="D235" s="278"/>
      <c r="E235" s="278"/>
      <c r="F235" s="278"/>
      <c r="G235" s="88" t="s">
        <v>1225</v>
      </c>
      <c r="H235" s="148">
        <v>4</v>
      </c>
      <c r="I235" s="377" t="s">
        <v>125</v>
      </c>
      <c r="J235" s="378">
        <v>3</v>
      </c>
      <c r="K235" s="148"/>
      <c r="L235" s="148"/>
      <c r="M235" s="379" t="s">
        <v>1861</v>
      </c>
      <c r="N235" s="378">
        <v>1</v>
      </c>
      <c r="O235" s="133" t="s">
        <v>1235</v>
      </c>
      <c r="P235" s="356">
        <v>1</v>
      </c>
      <c r="Q235" s="134"/>
      <c r="R235" s="358"/>
      <c r="T235" s="405"/>
      <c r="U235" s="382" t="s">
        <v>1706</v>
      </c>
      <c r="V235" s="383">
        <f t="shared" ref="V235:AD235" si="7">SUM(V178:V230)</f>
        <v>6</v>
      </c>
      <c r="W235" s="383">
        <f t="shared" si="7"/>
        <v>7</v>
      </c>
      <c r="X235" s="383">
        <f t="shared" si="7"/>
        <v>23</v>
      </c>
      <c r="Y235" s="383">
        <f t="shared" si="7"/>
        <v>18</v>
      </c>
      <c r="Z235" s="383">
        <f t="shared" si="7"/>
        <v>19</v>
      </c>
      <c r="AA235" s="383">
        <f t="shared" si="7"/>
        <v>40</v>
      </c>
      <c r="AB235" s="383">
        <f t="shared" si="7"/>
        <v>27</v>
      </c>
      <c r="AC235" s="383">
        <f t="shared" si="7"/>
        <v>38</v>
      </c>
      <c r="AD235" s="383">
        <f t="shared" si="7"/>
        <v>22</v>
      </c>
      <c r="AE235" s="383">
        <f>SUM(AE178:AE234)</f>
        <v>8</v>
      </c>
      <c r="AF235" s="384">
        <f>SUM(AF178:AF234)</f>
        <v>0</v>
      </c>
      <c r="AG235" s="282"/>
      <c r="AH235" s="282"/>
      <c r="AI235" s="409">
        <f t="shared" si="6"/>
        <v>200</v>
      </c>
      <c r="AJ235" s="409"/>
      <c r="AK235">
        <f>SUM(AI178:AI234)</f>
        <v>200</v>
      </c>
    </row>
    <row r="236" spans="1:37" ht="25.5" customHeight="1">
      <c r="A236" s="278"/>
      <c r="B236" s="278"/>
      <c r="C236" s="365"/>
      <c r="D236" s="278"/>
      <c r="E236" s="278"/>
      <c r="F236" s="278"/>
      <c r="G236" s="88" t="s">
        <v>1241</v>
      </c>
      <c r="H236" s="148">
        <v>1</v>
      </c>
      <c r="I236" s="377" t="s">
        <v>1267</v>
      </c>
      <c r="J236" s="378">
        <v>1</v>
      </c>
      <c r="K236" s="148"/>
      <c r="L236" s="148"/>
      <c r="M236" s="379" t="s">
        <v>1227</v>
      </c>
      <c r="N236" s="378">
        <v>1</v>
      </c>
      <c r="O236" s="133" t="s">
        <v>1230</v>
      </c>
      <c r="P236" s="356">
        <v>1</v>
      </c>
      <c r="Q236" s="134"/>
      <c r="R236" s="358"/>
      <c r="T236" s="410" t="s">
        <v>1862</v>
      </c>
      <c r="U236" s="410"/>
      <c r="V236" s="410"/>
      <c r="W236" s="410"/>
      <c r="X236" s="410"/>
      <c r="Y236" s="410"/>
      <c r="Z236" s="410"/>
      <c r="AA236" s="410"/>
      <c r="AB236" s="410"/>
      <c r="AC236" s="410"/>
      <c r="AD236" s="410"/>
      <c r="AE236" s="410"/>
      <c r="AF236" s="410"/>
      <c r="AG236" s="410"/>
      <c r="AH236" s="410"/>
      <c r="AI236" s="410"/>
    </row>
    <row r="237" spans="1:37" ht="15">
      <c r="A237" s="278"/>
      <c r="B237" s="278"/>
      <c r="C237" s="365"/>
      <c r="D237" s="278"/>
      <c r="E237" s="278"/>
      <c r="F237" s="278"/>
      <c r="G237" s="88" t="s">
        <v>1266</v>
      </c>
      <c r="H237" s="148">
        <v>1</v>
      </c>
      <c r="I237" s="377" t="s">
        <v>101</v>
      </c>
      <c r="J237" s="378">
        <v>1</v>
      </c>
      <c r="K237" s="278"/>
      <c r="L237" s="278"/>
      <c r="M237" s="379" t="s">
        <v>1234</v>
      </c>
      <c r="N237" s="378">
        <v>1</v>
      </c>
      <c r="O237" s="133" t="s">
        <v>1097</v>
      </c>
      <c r="P237" s="356">
        <v>1</v>
      </c>
      <c r="Q237" s="134"/>
      <c r="R237" s="358"/>
    </row>
    <row r="238" spans="1:37" ht="20.25">
      <c r="A238" s="278"/>
      <c r="B238" s="278"/>
      <c r="C238" s="365"/>
      <c r="D238" s="278"/>
      <c r="E238" s="278"/>
      <c r="F238" s="278"/>
      <c r="G238" s="88" t="s">
        <v>107</v>
      </c>
      <c r="H238" s="148">
        <v>1</v>
      </c>
      <c r="I238" s="377" t="s">
        <v>1863</v>
      </c>
      <c r="J238" s="378">
        <v>1</v>
      </c>
      <c r="K238" s="278"/>
      <c r="L238" s="278"/>
      <c r="M238" s="379" t="s">
        <v>1864</v>
      </c>
      <c r="N238" s="378">
        <v>1</v>
      </c>
      <c r="O238" s="133" t="s">
        <v>1243</v>
      </c>
      <c r="P238" s="356">
        <v>1</v>
      </c>
      <c r="Q238" s="380">
        <v>2</v>
      </c>
      <c r="R238" s="358"/>
      <c r="T238" s="411" t="s">
        <v>1865</v>
      </c>
      <c r="U238" s="411"/>
      <c r="V238" s="411"/>
      <c r="W238" s="411"/>
      <c r="X238" s="411"/>
      <c r="Y238" s="411"/>
      <c r="Z238" s="411"/>
      <c r="AA238" s="411"/>
      <c r="AB238" s="411"/>
      <c r="AC238" s="385"/>
      <c r="AD238" s="385"/>
      <c r="AE238" s="385"/>
      <c r="AF238" s="386">
        <f>R134</f>
        <v>85</v>
      </c>
      <c r="AG238" s="386"/>
      <c r="AH238" s="386"/>
      <c r="AI238" s="412" t="s">
        <v>1641</v>
      </c>
      <c r="AJ238" s="412"/>
    </row>
    <row r="239" spans="1:37" ht="30">
      <c r="A239" s="278"/>
      <c r="B239" s="278"/>
      <c r="C239" s="365"/>
      <c r="D239" s="278"/>
      <c r="E239" s="278"/>
      <c r="F239" s="278"/>
      <c r="G239" s="88" t="s">
        <v>644</v>
      </c>
      <c r="H239" s="148">
        <v>4</v>
      </c>
      <c r="I239" s="377" t="s">
        <v>1107</v>
      </c>
      <c r="J239" s="378">
        <v>1</v>
      </c>
      <c r="K239" s="278"/>
      <c r="L239" s="278"/>
      <c r="M239" s="379" t="s">
        <v>240</v>
      </c>
      <c r="N239" s="378">
        <v>8</v>
      </c>
      <c r="O239" s="133" t="s">
        <v>1272</v>
      </c>
      <c r="P239" s="356">
        <v>1</v>
      </c>
      <c r="Q239" s="134"/>
      <c r="R239" s="358"/>
      <c r="T239" s="387"/>
      <c r="U239" s="388"/>
      <c r="V239" s="388"/>
      <c r="W239" s="388"/>
      <c r="X239" s="388"/>
      <c r="Y239" s="388"/>
      <c r="Z239" s="388"/>
      <c r="AA239" s="388"/>
      <c r="AB239" s="388"/>
      <c r="AC239" s="388"/>
      <c r="AD239" s="388"/>
      <c r="AE239" s="388"/>
      <c r="AF239" s="388"/>
      <c r="AG239" s="388"/>
      <c r="AH239" s="388"/>
      <c r="AI239" s="388"/>
      <c r="AJ239" s="388"/>
    </row>
    <row r="240" spans="1:37" ht="15">
      <c r="A240" s="278"/>
      <c r="B240" s="278"/>
      <c r="C240" s="365"/>
      <c r="D240" s="278"/>
      <c r="E240" s="278"/>
      <c r="F240" s="278"/>
      <c r="G240" s="88" t="s">
        <v>1866</v>
      </c>
      <c r="H240" s="148">
        <v>1</v>
      </c>
      <c r="I240" s="377" t="s">
        <v>1303</v>
      </c>
      <c r="J240" s="378">
        <v>1</v>
      </c>
      <c r="K240" s="278"/>
      <c r="L240" s="278"/>
      <c r="M240" s="379" t="s">
        <v>440</v>
      </c>
      <c r="N240" s="378">
        <v>1</v>
      </c>
      <c r="O240" s="133" t="s">
        <v>173</v>
      </c>
      <c r="P240" s="356">
        <v>1</v>
      </c>
      <c r="Q240" s="380">
        <v>5</v>
      </c>
      <c r="R240" s="278"/>
      <c r="T240" s="413" t="s">
        <v>1867</v>
      </c>
      <c r="U240" s="413"/>
      <c r="V240" s="413" t="s">
        <v>1868</v>
      </c>
      <c r="W240" s="413"/>
      <c r="X240" s="413"/>
      <c r="Y240" s="413"/>
      <c r="Z240" s="413"/>
      <c r="AA240" s="413" t="s">
        <v>1869</v>
      </c>
      <c r="AB240" s="413"/>
      <c r="AC240" s="389"/>
      <c r="AD240" s="389"/>
      <c r="AE240" s="389"/>
      <c r="AF240" s="413" t="s">
        <v>1870</v>
      </c>
      <c r="AG240" s="413"/>
      <c r="AH240" s="413"/>
      <c r="AI240" s="413"/>
      <c r="AJ240" s="413"/>
    </row>
    <row r="241" spans="1:37" ht="15">
      <c r="A241" s="278"/>
      <c r="B241" s="278"/>
      <c r="C241" s="365"/>
      <c r="D241" s="278"/>
      <c r="E241" s="278"/>
      <c r="F241" s="278"/>
      <c r="G241" s="88" t="s">
        <v>1295</v>
      </c>
      <c r="H241" s="148">
        <v>1</v>
      </c>
      <c r="I241" s="366"/>
      <c r="J241" s="278"/>
      <c r="K241" s="278"/>
      <c r="L241" s="278"/>
      <c r="M241" s="379" t="s">
        <v>1009</v>
      </c>
      <c r="N241" s="378">
        <v>1</v>
      </c>
      <c r="O241" s="133" t="s">
        <v>1250</v>
      </c>
      <c r="P241" s="356">
        <v>1</v>
      </c>
      <c r="Q241" s="380">
        <v>1</v>
      </c>
      <c r="R241" s="278"/>
      <c r="T241" s="413"/>
      <c r="U241" s="413"/>
      <c r="V241" s="413"/>
      <c r="W241" s="413"/>
      <c r="X241" s="413"/>
      <c r="Y241" s="413"/>
      <c r="Z241" s="413"/>
      <c r="AA241" s="414" t="s">
        <v>1871</v>
      </c>
      <c r="AB241" s="414"/>
      <c r="AC241" s="390"/>
      <c r="AD241" s="390"/>
      <c r="AE241" s="390"/>
      <c r="AF241" s="413"/>
      <c r="AG241" s="413"/>
      <c r="AH241" s="413"/>
      <c r="AI241" s="413"/>
      <c r="AJ241" s="413"/>
    </row>
    <row r="242" spans="1:37" ht="15">
      <c r="A242" s="278"/>
      <c r="B242" s="278"/>
      <c r="C242" s="365"/>
      <c r="D242" s="278"/>
      <c r="E242" s="278"/>
      <c r="F242" s="278"/>
      <c r="G242" s="88" t="s">
        <v>955</v>
      </c>
      <c r="H242" s="148">
        <v>2</v>
      </c>
      <c r="I242" s="366"/>
      <c r="J242" s="278"/>
      <c r="K242" s="278"/>
      <c r="L242" s="278"/>
      <c r="M242" s="379" t="s">
        <v>1872</v>
      </c>
      <c r="N242" s="378">
        <v>1</v>
      </c>
      <c r="O242" s="133" t="s">
        <v>1254</v>
      </c>
      <c r="P242" s="356">
        <v>1</v>
      </c>
      <c r="Q242" s="380">
        <v>1</v>
      </c>
      <c r="R242" s="278"/>
      <c r="T242" s="415">
        <v>2021</v>
      </c>
      <c r="U242" s="415"/>
      <c r="V242" s="415" t="s">
        <v>1873</v>
      </c>
      <c r="W242" s="415"/>
      <c r="X242" s="415"/>
      <c r="Y242" s="415"/>
      <c r="Z242" s="415"/>
      <c r="AA242" s="415">
        <v>8</v>
      </c>
      <c r="AB242" s="415"/>
      <c r="AC242" s="391"/>
      <c r="AD242" s="391"/>
      <c r="AE242" s="391"/>
      <c r="AF242" s="416">
        <f>Z256+Z258+Z259+Z260+Z261+Z262+Z263+Z265</f>
        <v>10573.337000000001</v>
      </c>
      <c r="AG242" s="416"/>
      <c r="AH242" s="416"/>
      <c r="AI242" s="416"/>
      <c r="AJ242" s="416"/>
      <c r="AK242" s="254">
        <f>W256+W258+W259+W260+W261+W262+W263+W265</f>
        <v>79</v>
      </c>
    </row>
    <row r="243" spans="1:37" ht="15">
      <c r="A243" s="278"/>
      <c r="B243" s="278"/>
      <c r="C243" s="365"/>
      <c r="D243" s="278"/>
      <c r="E243" s="278"/>
      <c r="F243" s="278"/>
      <c r="G243" s="88" t="s">
        <v>1874</v>
      </c>
      <c r="H243" s="148">
        <v>1</v>
      </c>
      <c r="I243" s="366"/>
      <c r="J243" s="278"/>
      <c r="K243" s="278"/>
      <c r="L243" s="278"/>
      <c r="M243" s="379" t="s">
        <v>577</v>
      </c>
      <c r="N243" s="378">
        <v>1</v>
      </c>
      <c r="O243" s="133" t="s">
        <v>718</v>
      </c>
      <c r="P243" s="134">
        <v>1</v>
      </c>
      <c r="Q243" s="380">
        <v>15</v>
      </c>
      <c r="R243" s="278"/>
      <c r="T243" s="415">
        <v>2021</v>
      </c>
      <c r="U243" s="415"/>
      <c r="V243" s="415" t="s">
        <v>1875</v>
      </c>
      <c r="W243" s="415"/>
      <c r="X243" s="415"/>
      <c r="Y243" s="415"/>
      <c r="Z243" s="415"/>
      <c r="AA243" s="415">
        <v>1</v>
      </c>
      <c r="AB243" s="415"/>
      <c r="AC243" s="391"/>
      <c r="AD243" s="391"/>
      <c r="AE243" s="391"/>
      <c r="AF243" s="416">
        <f>Z257</f>
        <v>624.99400000000003</v>
      </c>
      <c r="AG243" s="416"/>
      <c r="AH243" s="416"/>
      <c r="AI243" s="416"/>
      <c r="AJ243" s="416"/>
      <c r="AK243" s="254">
        <f>W257</f>
        <v>3</v>
      </c>
    </row>
    <row r="244" spans="1:37" ht="15" customHeight="1">
      <c r="A244" s="278"/>
      <c r="B244" s="278"/>
      <c r="C244" s="365"/>
      <c r="D244" s="278"/>
      <c r="E244" s="278"/>
      <c r="F244" s="278"/>
      <c r="G244" s="88" t="s">
        <v>1876</v>
      </c>
      <c r="H244" s="148">
        <v>1</v>
      </c>
      <c r="I244" s="366"/>
      <c r="J244" s="278"/>
      <c r="K244" s="278"/>
      <c r="L244" s="278"/>
      <c r="M244" s="379" t="s">
        <v>1877</v>
      </c>
      <c r="N244" s="378">
        <v>1</v>
      </c>
      <c r="O244" s="133" t="s">
        <v>1283</v>
      </c>
      <c r="P244" s="359">
        <v>1</v>
      </c>
      <c r="Q244" s="367"/>
      <c r="R244" s="278"/>
      <c r="T244" s="415">
        <v>2021</v>
      </c>
      <c r="U244" s="415"/>
      <c r="V244" s="415" t="s">
        <v>1878</v>
      </c>
      <c r="W244" s="415"/>
      <c r="X244" s="415"/>
      <c r="Y244" s="415"/>
      <c r="Z244" s="415"/>
      <c r="AA244" s="415">
        <v>1</v>
      </c>
      <c r="AB244" s="415"/>
      <c r="AC244" s="391"/>
      <c r="AD244" s="391"/>
      <c r="AE244" s="391"/>
      <c r="AF244" s="416">
        <f>Z264</f>
        <v>300.46199999999999</v>
      </c>
      <c r="AG244" s="416"/>
      <c r="AH244" s="416"/>
      <c r="AI244" s="416"/>
      <c r="AJ244" s="416"/>
      <c r="AK244" s="254">
        <f>W264</f>
        <v>3</v>
      </c>
    </row>
    <row r="245" spans="1:37" ht="62.25" customHeight="1">
      <c r="A245" s="278"/>
      <c r="B245" s="278"/>
      <c r="C245" s="365"/>
      <c r="D245" s="278"/>
      <c r="E245" s="278"/>
      <c r="F245" s="278"/>
      <c r="G245" s="365"/>
      <c r="H245" s="278"/>
      <c r="I245" s="366"/>
      <c r="J245" s="278"/>
      <c r="K245" s="278"/>
      <c r="L245" s="278"/>
      <c r="M245" s="379" t="s">
        <v>1879</v>
      </c>
      <c r="N245" s="378">
        <v>1</v>
      </c>
      <c r="O245" s="133" t="s">
        <v>1072</v>
      </c>
      <c r="P245" s="359">
        <v>1</v>
      </c>
      <c r="Q245" s="367"/>
      <c r="R245" s="278"/>
      <c r="AA245" s="417">
        <f>AA242+AA243+AA244</f>
        <v>10</v>
      </c>
      <c r="AB245" s="417"/>
      <c r="AC245" s="334"/>
      <c r="AD245" s="334"/>
      <c r="AE245" s="334"/>
      <c r="AK245" s="254">
        <f>AK242+AK243+AK244</f>
        <v>85</v>
      </c>
    </row>
    <row r="246" spans="1:37" ht="18">
      <c r="A246" s="278"/>
      <c r="B246" s="278"/>
      <c r="C246" s="365"/>
      <c r="D246" s="278"/>
      <c r="E246" s="278"/>
      <c r="F246" s="278"/>
      <c r="G246" s="365"/>
      <c r="H246" s="278"/>
      <c r="I246" s="366"/>
      <c r="J246" s="278"/>
      <c r="K246" s="278"/>
      <c r="L246" s="278"/>
      <c r="M246" s="379" t="s">
        <v>1880</v>
      </c>
      <c r="N246" s="378">
        <v>1</v>
      </c>
      <c r="O246" s="133" t="s">
        <v>1318</v>
      </c>
      <c r="P246" s="359">
        <v>1</v>
      </c>
      <c r="Q246" s="367">
        <v>1</v>
      </c>
      <c r="R246" s="278"/>
      <c r="AF246" s="418">
        <f>AF242+AF243+AF244</f>
        <v>11498.793000000001</v>
      </c>
      <c r="AG246" s="418"/>
      <c r="AH246" s="418"/>
      <c r="AI246" s="418"/>
      <c r="AJ246" s="418"/>
    </row>
    <row r="247" spans="1:37" ht="18">
      <c r="A247" s="278"/>
      <c r="B247" s="278"/>
      <c r="C247" s="365"/>
      <c r="D247" s="278"/>
      <c r="E247" s="278"/>
      <c r="F247" s="278"/>
      <c r="G247" s="365"/>
      <c r="H247" s="278"/>
      <c r="I247" s="366"/>
      <c r="J247" s="278"/>
      <c r="K247" s="278"/>
      <c r="L247" s="278"/>
      <c r="M247" s="379" t="s">
        <v>1881</v>
      </c>
      <c r="N247" s="378">
        <v>1</v>
      </c>
      <c r="O247" s="133" t="s">
        <v>1882</v>
      </c>
      <c r="P247" s="359">
        <v>1</v>
      </c>
      <c r="Q247" s="367">
        <v>7</v>
      </c>
      <c r="R247" s="278"/>
      <c r="AF247" s="392"/>
      <c r="AG247" s="392"/>
      <c r="AH247" s="392"/>
      <c r="AI247" s="392"/>
      <c r="AJ247" s="392"/>
    </row>
    <row r="248" spans="1:37" ht="15">
      <c r="A248" s="278"/>
      <c r="B248" s="278"/>
      <c r="C248" s="365"/>
      <c r="D248" s="278"/>
      <c r="E248" s="278"/>
      <c r="F248" s="278"/>
      <c r="G248" s="365"/>
      <c r="H248" s="278"/>
      <c r="I248" s="366"/>
      <c r="J248" s="278"/>
      <c r="K248" s="278"/>
      <c r="L248" s="278"/>
      <c r="M248" s="379" t="s">
        <v>1317</v>
      </c>
      <c r="N248" s="378">
        <v>1</v>
      </c>
      <c r="O248" s="133" t="s">
        <v>1313</v>
      </c>
      <c r="P248" s="359">
        <v>1</v>
      </c>
      <c r="Q248" s="367"/>
      <c r="R248" s="278"/>
    </row>
    <row r="249" spans="1:37" ht="15">
      <c r="A249" s="334"/>
      <c r="B249" s="334"/>
      <c r="C249" s="236"/>
      <c r="D249" s="334"/>
      <c r="E249" s="334"/>
      <c r="F249" s="334"/>
      <c r="G249" s="236"/>
      <c r="H249" s="334"/>
      <c r="I249" s="242"/>
      <c r="J249" s="334"/>
      <c r="K249" s="334"/>
      <c r="L249" s="334"/>
      <c r="M249" s="244"/>
      <c r="N249" s="334"/>
      <c r="O249" s="242"/>
      <c r="P249" s="393"/>
      <c r="Q249" s="393"/>
      <c r="R249" s="334"/>
    </row>
    <row r="250" spans="1:37" ht="15">
      <c r="A250" s="334"/>
      <c r="B250" s="334"/>
      <c r="C250" s="236"/>
      <c r="D250" s="334"/>
      <c r="E250" s="334"/>
      <c r="F250" s="334"/>
      <c r="G250" s="236"/>
      <c r="H250" s="334"/>
      <c r="I250" s="242"/>
      <c r="J250" s="334"/>
      <c r="K250" s="334"/>
      <c r="L250" s="334"/>
      <c r="M250" s="244"/>
      <c r="N250" s="334"/>
      <c r="O250" s="242"/>
      <c r="P250" s="393"/>
      <c r="Q250" s="393"/>
      <c r="R250" s="334"/>
    </row>
    <row r="251" spans="1:37" ht="15">
      <c r="A251" s="334"/>
      <c r="B251" s="334"/>
      <c r="C251" s="236"/>
      <c r="D251" s="334"/>
      <c r="E251" s="334"/>
      <c r="F251" s="334"/>
      <c r="G251" s="236"/>
      <c r="H251" s="334"/>
      <c r="I251" s="242"/>
      <c r="J251" s="334"/>
      <c r="K251" s="334"/>
      <c r="L251" s="334"/>
      <c r="M251" s="244"/>
      <c r="N251" s="334"/>
      <c r="O251" s="242"/>
      <c r="P251" s="393"/>
      <c r="Q251" s="393"/>
      <c r="R251" s="334"/>
    </row>
    <row r="252" spans="1:37" ht="15">
      <c r="A252" s="334"/>
      <c r="B252" s="334"/>
      <c r="C252" s="236"/>
      <c r="D252" s="334"/>
      <c r="E252" s="334"/>
      <c r="F252" s="334"/>
      <c r="G252" s="236"/>
      <c r="H252" s="334"/>
      <c r="I252" s="242"/>
      <c r="J252" s="334"/>
      <c r="K252" s="334"/>
      <c r="L252" s="334"/>
      <c r="M252" s="244"/>
      <c r="N252" s="334"/>
      <c r="O252" s="242"/>
      <c r="P252" s="393"/>
      <c r="Q252" s="393"/>
      <c r="R252" s="334"/>
    </row>
    <row r="253" spans="1:37" ht="15">
      <c r="A253" s="334"/>
      <c r="B253" s="334"/>
      <c r="C253" s="236"/>
      <c r="D253" s="334"/>
      <c r="E253" s="334"/>
      <c r="F253" s="334"/>
      <c r="G253" s="236"/>
      <c r="H253" s="334"/>
      <c r="I253" s="242"/>
      <c r="J253" s="334"/>
      <c r="K253" s="334"/>
      <c r="L253" s="334"/>
      <c r="M253" s="244"/>
      <c r="N253" s="334"/>
      <c r="O253" s="242"/>
      <c r="P253" s="393"/>
      <c r="Q253" s="393"/>
      <c r="R253" s="334"/>
    </row>
    <row r="254" spans="1:37" ht="15">
      <c r="T254" s="419" t="s">
        <v>1883</v>
      </c>
      <c r="U254" s="419"/>
      <c r="V254" s="419"/>
      <c r="W254" s="419"/>
      <c r="X254" s="419"/>
      <c r="Y254" s="419"/>
      <c r="Z254" s="419"/>
      <c r="AA254" s="419"/>
      <c r="AB254" s="419"/>
      <c r="AC254" s="394"/>
      <c r="AD254" s="394"/>
      <c r="AE254" s="394"/>
    </row>
    <row r="255" spans="1:37" ht="15">
      <c r="A255" s="283"/>
      <c r="B255" s="330">
        <f>SUM(B223:B254)</f>
        <v>46</v>
      </c>
      <c r="C255" s="283"/>
      <c r="D255" s="330">
        <f>SUM(D222:D238)</f>
        <v>46</v>
      </c>
      <c r="E255" s="284" t="s">
        <v>1706</v>
      </c>
      <c r="F255" s="330">
        <f>SUM(F222:F238)</f>
        <v>46</v>
      </c>
      <c r="G255" s="332"/>
      <c r="H255" s="330">
        <f>H243+H242+H241+H240+H239+H238+H237+H236+H235+H234+H233+H232+H231+H230+H229+H228+H227+H226+H225+H224+H223+H222</f>
        <v>46</v>
      </c>
      <c r="I255" s="283"/>
      <c r="J255" s="330">
        <f>J222+J223+J224+J225+J226+J227+J228+J229+J230+J231+J232+J233+J234+J235+J236+J237+J238+J239+J240</f>
        <v>46</v>
      </c>
      <c r="K255" s="283"/>
      <c r="L255" s="330">
        <f>SUM(L222:L224)</f>
        <v>46</v>
      </c>
      <c r="M255" s="333"/>
      <c r="N255" s="330">
        <f>N222+N223+N224+N225+N226+N227+N228+N229+N230+N231+N232+N233+N234+N235+N236+N237+N238+N239+N240+N241+N242+N243+N244+N245+N246+N247+N248</f>
        <v>46</v>
      </c>
      <c r="O255" s="283"/>
      <c r="P255" s="288">
        <f>P222+P223+P224+P225+P226+P227+P228+P229+P230+P231+P232+P233+P234+P235+P236+P237+P238+P239+P240+P241+P242+P243+P244+P245+P246+P248</f>
        <v>46</v>
      </c>
      <c r="Q255" s="288">
        <f>SUM(Q222:Q248)</f>
        <v>111</v>
      </c>
      <c r="R255" s="283"/>
      <c r="T255" s="395" t="s">
        <v>1884</v>
      </c>
      <c r="U255" s="257" t="s">
        <v>1885</v>
      </c>
      <c r="V255" s="257" t="s">
        <v>1886</v>
      </c>
      <c r="W255" s="257" t="s">
        <v>1641</v>
      </c>
      <c r="X255" s="14" t="s">
        <v>1887</v>
      </c>
      <c r="Y255" s="14"/>
      <c r="Z255" s="14" t="s">
        <v>1888</v>
      </c>
      <c r="AA255" s="14"/>
      <c r="AB255" s="14"/>
      <c r="AC255" s="335"/>
      <c r="AD255" s="335"/>
      <c r="AE255" s="335"/>
    </row>
    <row r="256" spans="1:37" ht="15">
      <c r="T256" s="396">
        <v>1</v>
      </c>
      <c r="U256" s="396" t="s">
        <v>1889</v>
      </c>
      <c r="V256" s="396" t="s">
        <v>1890</v>
      </c>
      <c r="W256" s="396">
        <v>21</v>
      </c>
      <c r="X256" s="416">
        <v>4181.55</v>
      </c>
      <c r="Y256" s="416"/>
      <c r="Z256" s="416">
        <f t="shared" ref="Z256:Z265" si="8">X256/30*W256</f>
        <v>2927.0850000000005</v>
      </c>
      <c r="AA256" s="416"/>
      <c r="AB256" s="416"/>
      <c r="AC256" s="397"/>
      <c r="AD256" s="397"/>
      <c r="AE256" s="397"/>
      <c r="AI256" s="13"/>
      <c r="AJ256" s="13"/>
    </row>
    <row r="257" spans="1:31" ht="26.25" customHeight="1">
      <c r="A257" s="407">
        <v>2025</v>
      </c>
      <c r="B257" s="407"/>
      <c r="C257" s="407"/>
      <c r="D257" s="407"/>
      <c r="E257" s="407"/>
      <c r="F257" s="407"/>
      <c r="G257" s="407"/>
      <c r="H257" s="407"/>
      <c r="I257" s="407"/>
      <c r="J257" s="407"/>
      <c r="K257" s="407"/>
      <c r="L257" s="407"/>
      <c r="M257" s="407"/>
      <c r="N257" s="407"/>
      <c r="O257" s="407"/>
      <c r="P257" s="407"/>
      <c r="Q257" s="407"/>
      <c r="R257" s="407"/>
      <c r="T257" s="396">
        <v>2</v>
      </c>
      <c r="U257" s="396" t="s">
        <v>1891</v>
      </c>
      <c r="V257" s="396" t="s">
        <v>1892</v>
      </c>
      <c r="W257" s="396">
        <v>3</v>
      </c>
      <c r="X257" s="416">
        <v>6249.94</v>
      </c>
      <c r="Y257" s="416"/>
      <c r="Z257" s="416">
        <f t="shared" si="8"/>
        <v>624.99400000000003</v>
      </c>
      <c r="AA257" s="416"/>
      <c r="AB257" s="416"/>
      <c r="AC257" s="397"/>
      <c r="AD257" s="397"/>
      <c r="AE257" s="397"/>
    </row>
    <row r="258" spans="1:31" ht="28.5" customHeight="1">
      <c r="A258" s="11" t="s">
        <v>1647</v>
      </c>
      <c r="B258" s="11"/>
      <c r="C258" s="11" t="s">
        <v>1648</v>
      </c>
      <c r="D258" s="11"/>
      <c r="E258" s="11" t="s">
        <v>1649</v>
      </c>
      <c r="F258" s="11"/>
      <c r="G258" s="11" t="s">
        <v>1650</v>
      </c>
      <c r="H258" s="11"/>
      <c r="I258" s="11" t="s">
        <v>13</v>
      </c>
      <c r="J258" s="11"/>
      <c r="K258" s="11" t="s">
        <v>1651</v>
      </c>
      <c r="L258" s="11"/>
      <c r="M258" s="11" t="s">
        <v>14</v>
      </c>
      <c r="N258" s="11"/>
      <c r="O258" s="11" t="s">
        <v>1652</v>
      </c>
      <c r="P258" s="11"/>
      <c r="Q258" s="274" t="s">
        <v>1653</v>
      </c>
      <c r="R258" s="274" t="s">
        <v>1654</v>
      </c>
      <c r="T258" s="396">
        <v>3</v>
      </c>
      <c r="U258" s="396" t="s">
        <v>1893</v>
      </c>
      <c r="V258" s="396" t="s">
        <v>1890</v>
      </c>
      <c r="W258" s="396">
        <v>11</v>
      </c>
      <c r="X258" s="416">
        <v>3602.27</v>
      </c>
      <c r="Y258" s="416"/>
      <c r="Z258" s="416">
        <f t="shared" si="8"/>
        <v>1320.8323333333333</v>
      </c>
      <c r="AA258" s="416"/>
      <c r="AB258" s="416"/>
      <c r="AC258" s="397"/>
      <c r="AD258" s="397"/>
      <c r="AE258" s="397"/>
    </row>
    <row r="259" spans="1:31" ht="30">
      <c r="A259" s="275"/>
      <c r="B259" s="275"/>
      <c r="C259" s="44" t="s">
        <v>425</v>
      </c>
      <c r="D259" s="148">
        <v>4</v>
      </c>
      <c r="E259" s="275" t="s">
        <v>1656</v>
      </c>
      <c r="F259" s="275">
        <v>5</v>
      </c>
      <c r="G259" s="88" t="s">
        <v>496</v>
      </c>
      <c r="H259" s="148">
        <v>1</v>
      </c>
      <c r="I259" s="377" t="s">
        <v>1336</v>
      </c>
      <c r="J259" s="378">
        <v>1</v>
      </c>
      <c r="K259" s="148" t="s">
        <v>34</v>
      </c>
      <c r="L259" s="148">
        <v>42</v>
      </c>
      <c r="M259" s="377" t="s">
        <v>316</v>
      </c>
      <c r="N259" s="378">
        <v>1</v>
      </c>
      <c r="O259" s="133" t="s">
        <v>1337</v>
      </c>
      <c r="P259" s="134">
        <v>1</v>
      </c>
      <c r="Q259" s="134">
        <v>0</v>
      </c>
      <c r="R259" s="148">
        <f>Q288</f>
        <v>97</v>
      </c>
      <c r="T259" s="396">
        <v>4</v>
      </c>
      <c r="U259" s="396" t="s">
        <v>1893</v>
      </c>
      <c r="V259" s="396" t="s">
        <v>1890</v>
      </c>
      <c r="W259" s="396">
        <v>11</v>
      </c>
      <c r="X259" s="416">
        <v>3602.27</v>
      </c>
      <c r="Y259" s="416"/>
      <c r="Z259" s="416">
        <f t="shared" si="8"/>
        <v>1320.8323333333333</v>
      </c>
      <c r="AA259" s="416"/>
      <c r="AB259" s="416"/>
      <c r="AC259" s="397"/>
      <c r="AD259" s="397"/>
      <c r="AE259" s="397"/>
    </row>
    <row r="260" spans="1:31" ht="30">
      <c r="A260" s="275" t="s">
        <v>1657</v>
      </c>
      <c r="B260" s="275">
        <v>37</v>
      </c>
      <c r="C260" s="44" t="s">
        <v>74</v>
      </c>
      <c r="D260" s="148">
        <v>20</v>
      </c>
      <c r="E260" s="275" t="s">
        <v>1658</v>
      </c>
      <c r="F260" s="275">
        <v>5</v>
      </c>
      <c r="G260" s="44" t="s">
        <v>950</v>
      </c>
      <c r="H260" s="148">
        <v>2</v>
      </c>
      <c r="I260" s="379" t="s">
        <v>1341</v>
      </c>
      <c r="J260" s="378">
        <v>3</v>
      </c>
      <c r="K260" s="148" t="s">
        <v>144</v>
      </c>
      <c r="L260" s="148">
        <v>3</v>
      </c>
      <c r="M260" s="379" t="s">
        <v>1894</v>
      </c>
      <c r="N260" s="378">
        <v>4</v>
      </c>
      <c r="O260" s="92" t="s">
        <v>35</v>
      </c>
      <c r="P260" s="101">
        <v>9</v>
      </c>
      <c r="Q260" s="101">
        <f>1+0+1</f>
        <v>2</v>
      </c>
      <c r="R260" s="148"/>
      <c r="T260" s="396">
        <v>5</v>
      </c>
      <c r="U260" s="396" t="s">
        <v>1895</v>
      </c>
      <c r="V260" s="396" t="s">
        <v>1890</v>
      </c>
      <c r="W260" s="396">
        <v>5</v>
      </c>
      <c r="X260" s="416">
        <v>4306.05</v>
      </c>
      <c r="Y260" s="416"/>
      <c r="Z260" s="416">
        <f t="shared" si="8"/>
        <v>717.67499999999995</v>
      </c>
      <c r="AA260" s="416"/>
      <c r="AB260" s="416"/>
      <c r="AC260" s="397"/>
      <c r="AD260" s="397"/>
      <c r="AE260" s="397"/>
    </row>
    <row r="261" spans="1:31" ht="34.5" customHeight="1">
      <c r="A261" s="275" t="s">
        <v>1783</v>
      </c>
      <c r="B261" s="275">
        <v>8</v>
      </c>
      <c r="C261" s="88" t="s">
        <v>148</v>
      </c>
      <c r="D261" s="148">
        <v>11</v>
      </c>
      <c r="E261" s="275" t="s">
        <v>1660</v>
      </c>
      <c r="F261" s="275">
        <v>5</v>
      </c>
      <c r="G261" s="88" t="s">
        <v>1351</v>
      </c>
      <c r="H261" s="148">
        <v>2</v>
      </c>
      <c r="I261" s="377" t="s">
        <v>1124</v>
      </c>
      <c r="J261" s="378">
        <v>2</v>
      </c>
      <c r="K261" s="148" t="s">
        <v>1661</v>
      </c>
      <c r="L261" s="148"/>
      <c r="M261" s="379" t="s">
        <v>597</v>
      </c>
      <c r="N261" s="378">
        <v>1</v>
      </c>
      <c r="O261" s="133" t="s">
        <v>1017</v>
      </c>
      <c r="P261" s="134">
        <v>1</v>
      </c>
      <c r="Q261" s="134">
        <v>5</v>
      </c>
      <c r="R261" s="348"/>
      <c r="T261" s="396">
        <v>6</v>
      </c>
      <c r="U261" s="396" t="s">
        <v>1896</v>
      </c>
      <c r="V261" s="396" t="s">
        <v>1890</v>
      </c>
      <c r="W261" s="396">
        <v>12</v>
      </c>
      <c r="X261" s="416">
        <v>3382.27</v>
      </c>
      <c r="Y261" s="416"/>
      <c r="Z261" s="416">
        <f t="shared" si="8"/>
        <v>1352.9079999999999</v>
      </c>
      <c r="AA261" s="416"/>
      <c r="AB261" s="416"/>
      <c r="AC261" s="397"/>
      <c r="AD261" s="397"/>
      <c r="AE261" s="397"/>
    </row>
    <row r="262" spans="1:31" ht="28.5" customHeight="1">
      <c r="A262" s="275"/>
      <c r="B262" s="275"/>
      <c r="C262" s="88" t="s">
        <v>1678</v>
      </c>
      <c r="D262" s="148">
        <v>7</v>
      </c>
      <c r="E262" s="275" t="s">
        <v>1662</v>
      </c>
      <c r="F262" s="275">
        <v>7</v>
      </c>
      <c r="G262" s="398" t="s">
        <v>57</v>
      </c>
      <c r="H262" s="148">
        <v>2</v>
      </c>
      <c r="I262" s="377" t="s">
        <v>934</v>
      </c>
      <c r="J262" s="378">
        <v>1</v>
      </c>
      <c r="K262" s="148"/>
      <c r="L262" s="148"/>
      <c r="M262" s="379" t="s">
        <v>1897</v>
      </c>
      <c r="N262" s="378">
        <v>1</v>
      </c>
      <c r="O262" s="133" t="s">
        <v>1356</v>
      </c>
      <c r="P262" s="134">
        <v>1</v>
      </c>
      <c r="Q262" s="134">
        <v>0</v>
      </c>
      <c r="R262" s="148"/>
      <c r="T262" s="396">
        <v>7</v>
      </c>
      <c r="U262" s="396" t="s">
        <v>1898</v>
      </c>
      <c r="V262" s="396" t="s">
        <v>1890</v>
      </c>
      <c r="W262" s="396">
        <v>3</v>
      </c>
      <c r="X262" s="416">
        <v>4181.55</v>
      </c>
      <c r="Y262" s="416"/>
      <c r="Z262" s="416">
        <f t="shared" si="8"/>
        <v>418.15500000000009</v>
      </c>
      <c r="AA262" s="416"/>
      <c r="AB262" s="416"/>
      <c r="AC262" s="397"/>
      <c r="AD262" s="397"/>
      <c r="AE262" s="397"/>
    </row>
    <row r="263" spans="1:31" ht="30.75" customHeight="1">
      <c r="A263" s="275"/>
      <c r="B263" s="275"/>
      <c r="C263" s="88" t="s">
        <v>1899</v>
      </c>
      <c r="D263" s="148">
        <v>1</v>
      </c>
      <c r="E263" s="275" t="s">
        <v>1663</v>
      </c>
      <c r="F263" s="275">
        <v>9</v>
      </c>
      <c r="G263" s="44" t="s">
        <v>1900</v>
      </c>
      <c r="H263" s="148">
        <v>3</v>
      </c>
      <c r="I263" s="377" t="s">
        <v>1901</v>
      </c>
      <c r="J263" s="378">
        <v>1</v>
      </c>
      <c r="K263" s="148"/>
      <c r="L263" s="148"/>
      <c r="M263" s="377" t="s">
        <v>1902</v>
      </c>
      <c r="N263" s="378">
        <v>3</v>
      </c>
      <c r="O263" s="133" t="s">
        <v>1347</v>
      </c>
      <c r="P263" s="134">
        <v>1</v>
      </c>
      <c r="Q263" s="134">
        <v>3</v>
      </c>
      <c r="R263" s="148"/>
      <c r="T263" s="396">
        <v>8</v>
      </c>
      <c r="U263" s="399" t="s">
        <v>1903</v>
      </c>
      <c r="V263" s="396" t="s">
        <v>1890</v>
      </c>
      <c r="W263" s="396">
        <v>14</v>
      </c>
      <c r="X263" s="420">
        <v>4878.4799999999996</v>
      </c>
      <c r="Y263" s="420"/>
      <c r="Z263" s="416">
        <f t="shared" si="8"/>
        <v>2276.6239999999998</v>
      </c>
      <c r="AA263" s="416"/>
      <c r="AB263" s="416"/>
      <c r="AC263" s="397"/>
      <c r="AD263" s="397"/>
      <c r="AE263" s="397"/>
    </row>
    <row r="264" spans="1:31" ht="47.25" customHeight="1">
      <c r="A264" s="275"/>
      <c r="B264" s="275"/>
      <c r="C264" s="88" t="s">
        <v>921</v>
      </c>
      <c r="D264" s="148">
        <v>1</v>
      </c>
      <c r="E264" s="275" t="s">
        <v>1664</v>
      </c>
      <c r="F264" s="275"/>
      <c r="G264" s="88" t="s">
        <v>1904</v>
      </c>
      <c r="H264" s="148">
        <v>3</v>
      </c>
      <c r="I264" s="377" t="s">
        <v>1359</v>
      </c>
      <c r="J264" s="378">
        <v>1</v>
      </c>
      <c r="K264" s="148"/>
      <c r="L264" s="148"/>
      <c r="M264" s="379" t="s">
        <v>1905</v>
      </c>
      <c r="N264" s="378">
        <v>1</v>
      </c>
      <c r="O264" s="133" t="s">
        <v>1360</v>
      </c>
      <c r="P264" s="134">
        <v>2</v>
      </c>
      <c r="Q264" s="134">
        <f>1+6</f>
        <v>7</v>
      </c>
      <c r="R264" s="148"/>
      <c r="T264" s="396">
        <v>9</v>
      </c>
      <c r="U264" s="399" t="s">
        <v>1906</v>
      </c>
      <c r="V264" s="399" t="s">
        <v>1907</v>
      </c>
      <c r="W264" s="396">
        <v>3</v>
      </c>
      <c r="X264" s="416">
        <v>3004.62</v>
      </c>
      <c r="Y264" s="416"/>
      <c r="Z264" s="416">
        <f t="shared" si="8"/>
        <v>300.46199999999999</v>
      </c>
      <c r="AA264" s="416"/>
      <c r="AB264" s="416"/>
      <c r="AC264" s="397"/>
      <c r="AD264" s="397"/>
      <c r="AE264" s="397"/>
    </row>
    <row r="265" spans="1:31" ht="15.75">
      <c r="A265" s="275"/>
      <c r="B265" s="275"/>
      <c r="C265" s="88" t="s">
        <v>1458</v>
      </c>
      <c r="D265" s="148">
        <v>1</v>
      </c>
      <c r="E265" s="275" t="s">
        <v>1665</v>
      </c>
      <c r="F265" s="275">
        <v>1</v>
      </c>
      <c r="G265" s="88" t="s">
        <v>1225</v>
      </c>
      <c r="H265" s="148">
        <v>5</v>
      </c>
      <c r="I265" s="377" t="s">
        <v>32</v>
      </c>
      <c r="J265" s="378">
        <v>3</v>
      </c>
      <c r="K265" s="148"/>
      <c r="L265" s="148"/>
      <c r="M265" s="379" t="s">
        <v>1363</v>
      </c>
      <c r="N265" s="378">
        <v>2</v>
      </c>
      <c r="O265" s="133" t="s">
        <v>1369</v>
      </c>
      <c r="P265" s="134">
        <v>1</v>
      </c>
      <c r="Q265" s="134">
        <v>0</v>
      </c>
      <c r="R265" s="274" t="s">
        <v>1855</v>
      </c>
      <c r="T265" s="253">
        <v>10</v>
      </c>
      <c r="U265" s="399" t="s">
        <v>1908</v>
      </c>
      <c r="V265" s="396" t="s">
        <v>1890</v>
      </c>
      <c r="W265" s="396">
        <v>2</v>
      </c>
      <c r="X265" s="416">
        <v>3588.38</v>
      </c>
      <c r="Y265" s="416"/>
      <c r="Z265" s="416">
        <f t="shared" si="8"/>
        <v>239.22533333333334</v>
      </c>
      <c r="AA265" s="416"/>
      <c r="AB265" s="416"/>
      <c r="AC265" s="397"/>
      <c r="AD265" s="397"/>
      <c r="AE265" s="397"/>
    </row>
    <row r="266" spans="1:31" ht="36" customHeight="1">
      <c r="A266" s="275"/>
      <c r="B266" s="275"/>
      <c r="C266" s="88"/>
      <c r="D266" s="148"/>
      <c r="E266" s="275" t="s">
        <v>1666</v>
      </c>
      <c r="F266" s="275">
        <v>3</v>
      </c>
      <c r="G266" s="88" t="s">
        <v>1367</v>
      </c>
      <c r="H266" s="148">
        <v>1</v>
      </c>
      <c r="I266" s="377" t="s">
        <v>992</v>
      </c>
      <c r="J266" s="378">
        <v>6</v>
      </c>
      <c r="K266" s="148"/>
      <c r="L266" s="148"/>
      <c r="M266" s="379" t="s">
        <v>1909</v>
      </c>
      <c r="N266" s="378">
        <v>1</v>
      </c>
      <c r="O266" s="133" t="s">
        <v>558</v>
      </c>
      <c r="P266" s="134">
        <v>1</v>
      </c>
      <c r="Q266" s="134">
        <v>13</v>
      </c>
      <c r="R266" s="348">
        <v>10</v>
      </c>
      <c r="T266" s="253"/>
      <c r="U266" s="400"/>
      <c r="V266" s="396"/>
      <c r="W266" s="253"/>
      <c r="X266" s="10"/>
      <c r="Y266" s="10"/>
      <c r="Z266" s="10"/>
      <c r="AA266" s="10"/>
      <c r="AB266" s="10"/>
    </row>
    <row r="267" spans="1:31" ht="30" customHeight="1">
      <c r="A267" s="275"/>
      <c r="B267" s="275"/>
      <c r="C267" s="88"/>
      <c r="D267" s="148"/>
      <c r="E267" s="275" t="s">
        <v>1667</v>
      </c>
      <c r="F267" s="275">
        <v>1</v>
      </c>
      <c r="G267" s="88" t="s">
        <v>574</v>
      </c>
      <c r="H267" s="148">
        <v>3</v>
      </c>
      <c r="I267" s="377" t="s">
        <v>1910</v>
      </c>
      <c r="J267" s="378">
        <v>1</v>
      </c>
      <c r="K267" s="148"/>
      <c r="L267" s="148"/>
      <c r="M267" s="379" t="s">
        <v>1374</v>
      </c>
      <c r="N267" s="378">
        <v>1</v>
      </c>
      <c r="O267" s="133" t="s">
        <v>1072</v>
      </c>
      <c r="P267" s="356">
        <v>5</v>
      </c>
      <c r="Q267" s="134">
        <v>0</v>
      </c>
      <c r="R267" s="148"/>
      <c r="T267" s="253"/>
      <c r="U267" s="400"/>
      <c r="V267" s="396"/>
      <c r="W267" s="253"/>
      <c r="X267" s="10"/>
      <c r="Y267" s="10"/>
      <c r="Z267" s="10"/>
      <c r="AA267" s="10"/>
      <c r="AB267" s="10"/>
    </row>
    <row r="268" spans="1:31" ht="56.25" customHeight="1">
      <c r="A268" s="275"/>
      <c r="B268" s="275"/>
      <c r="C268" s="88"/>
      <c r="D268" s="148"/>
      <c r="E268" s="275" t="s">
        <v>1668</v>
      </c>
      <c r="F268" s="275">
        <v>4</v>
      </c>
      <c r="G268" s="88" t="s">
        <v>1393</v>
      </c>
      <c r="H268" s="148">
        <v>1</v>
      </c>
      <c r="I268" s="377" t="s">
        <v>1911</v>
      </c>
      <c r="J268" s="378">
        <v>3</v>
      </c>
      <c r="K268" s="148"/>
      <c r="L268" s="148"/>
      <c r="M268" s="379" t="s">
        <v>1822</v>
      </c>
      <c r="N268" s="378">
        <v>2</v>
      </c>
      <c r="O268" s="133" t="s">
        <v>1390</v>
      </c>
      <c r="P268" s="134">
        <v>2</v>
      </c>
      <c r="Q268" s="134">
        <v>0</v>
      </c>
      <c r="R268" s="148"/>
      <c r="T268" s="253"/>
      <c r="U268" s="400"/>
      <c r="V268" s="396"/>
      <c r="W268" s="253"/>
      <c r="X268" s="10"/>
      <c r="Y268" s="10"/>
      <c r="Z268" s="10"/>
      <c r="AA268" s="10"/>
      <c r="AB268" s="10"/>
    </row>
    <row r="269" spans="1:31" ht="15">
      <c r="A269" s="275"/>
      <c r="B269" s="275"/>
      <c r="C269" s="88"/>
      <c r="D269" s="148"/>
      <c r="E269" s="275" t="s">
        <v>1669</v>
      </c>
      <c r="F269" s="275">
        <v>2</v>
      </c>
      <c r="G269" s="88" t="s">
        <v>403</v>
      </c>
      <c r="H269" s="148">
        <v>4</v>
      </c>
      <c r="I269" s="377" t="s">
        <v>1912</v>
      </c>
      <c r="J269" s="378">
        <v>6</v>
      </c>
      <c r="K269" s="148"/>
      <c r="L269" s="148"/>
      <c r="M269" s="379" t="s">
        <v>1207</v>
      </c>
      <c r="N269" s="378">
        <v>2</v>
      </c>
      <c r="O269" s="133" t="s">
        <v>1404</v>
      </c>
      <c r="P269" s="134">
        <v>1</v>
      </c>
      <c r="Q269" s="357">
        <v>0</v>
      </c>
      <c r="R269" s="148"/>
    </row>
    <row r="270" spans="1:31" ht="18">
      <c r="A270" s="275"/>
      <c r="B270" s="275"/>
      <c r="C270" s="88"/>
      <c r="D270" s="148"/>
      <c r="E270" s="275" t="s">
        <v>1670</v>
      </c>
      <c r="F270" s="275">
        <v>3</v>
      </c>
      <c r="G270" s="88" t="s">
        <v>1385</v>
      </c>
      <c r="H270" s="148">
        <v>1</v>
      </c>
      <c r="I270" s="377" t="s">
        <v>620</v>
      </c>
      <c r="J270" s="378">
        <v>4</v>
      </c>
      <c r="K270" s="148"/>
      <c r="L270" s="148"/>
      <c r="M270" s="379" t="s">
        <v>1913</v>
      </c>
      <c r="N270" s="378">
        <v>8</v>
      </c>
      <c r="O270" s="133" t="s">
        <v>1472</v>
      </c>
      <c r="P270" s="356">
        <v>1</v>
      </c>
      <c r="Q270" s="134">
        <v>15</v>
      </c>
      <c r="R270" s="358"/>
      <c r="W270" s="257">
        <f>W256+W257+W258+W259+W260+W261+W262+W263+W264+W265</f>
        <v>85</v>
      </c>
      <c r="Z270" s="418">
        <f>Z256+Z257+Z258+Z259+Z260+Z261+Z262+Z263+Z264+Z265</f>
        <v>11498.793000000001</v>
      </c>
      <c r="AA270" s="418"/>
      <c r="AB270" s="418"/>
      <c r="AC270" s="392"/>
      <c r="AD270" s="392"/>
      <c r="AE270" s="392"/>
    </row>
    <row r="271" spans="1:31" ht="29.25" customHeight="1">
      <c r="A271" s="275"/>
      <c r="B271" s="275"/>
      <c r="C271" s="88"/>
      <c r="D271" s="148"/>
      <c r="E271" s="275"/>
      <c r="F271" s="275"/>
      <c r="G271" s="88" t="s">
        <v>1398</v>
      </c>
      <c r="H271" s="148">
        <v>1</v>
      </c>
      <c r="I271" s="377" t="s">
        <v>1914</v>
      </c>
      <c r="J271" s="378">
        <v>3</v>
      </c>
      <c r="K271" s="148"/>
      <c r="L271" s="148"/>
      <c r="M271" s="379" t="s">
        <v>1403</v>
      </c>
      <c r="N271" s="378">
        <v>3</v>
      </c>
      <c r="O271" s="133" t="s">
        <v>1159</v>
      </c>
      <c r="P271" s="359">
        <v>4</v>
      </c>
      <c r="Q271" s="134">
        <v>0</v>
      </c>
      <c r="R271" s="358"/>
    </row>
    <row r="272" spans="1:31" ht="36.75" customHeight="1">
      <c r="A272" s="278"/>
      <c r="B272" s="278"/>
      <c r="C272" s="365"/>
      <c r="D272" s="278"/>
      <c r="E272" s="278"/>
      <c r="F272" s="278"/>
      <c r="G272" s="88" t="s">
        <v>292</v>
      </c>
      <c r="H272" s="148">
        <v>1</v>
      </c>
      <c r="I272" s="377" t="s">
        <v>1402</v>
      </c>
      <c r="J272" s="378">
        <v>1</v>
      </c>
      <c r="K272" s="148"/>
      <c r="L272" s="148"/>
      <c r="M272" s="379" t="s">
        <v>1915</v>
      </c>
      <c r="N272" s="378">
        <v>1</v>
      </c>
      <c r="O272" s="133" t="s">
        <v>1916</v>
      </c>
      <c r="P272" s="356">
        <v>1</v>
      </c>
      <c r="Q272" s="134">
        <v>0</v>
      </c>
      <c r="R272" s="358"/>
      <c r="V272" s="14" t="s">
        <v>1917</v>
      </c>
      <c r="W272" s="14"/>
      <c r="X272" s="14"/>
      <c r="Y272" s="14"/>
      <c r="Z272" s="14"/>
    </row>
    <row r="273" spans="1:25" ht="36" customHeight="1">
      <c r="A273" s="278"/>
      <c r="B273" s="278"/>
      <c r="C273" s="365"/>
      <c r="D273" s="278"/>
      <c r="E273" s="278"/>
      <c r="F273" s="278"/>
      <c r="G273" s="88" t="s">
        <v>1414</v>
      </c>
      <c r="H273" s="148">
        <v>1</v>
      </c>
      <c r="I273" s="377" t="s">
        <v>1918</v>
      </c>
      <c r="J273" s="378">
        <v>1</v>
      </c>
      <c r="K273" s="148"/>
      <c r="L273" s="148"/>
      <c r="M273" s="379" t="s">
        <v>1426</v>
      </c>
      <c r="N273" s="378">
        <v>1</v>
      </c>
      <c r="O273" s="133" t="s">
        <v>298</v>
      </c>
      <c r="P273" s="356">
        <v>1</v>
      </c>
      <c r="Q273" s="134">
        <v>5</v>
      </c>
      <c r="R273" s="358"/>
      <c r="V273" s="421">
        <f>W270/T265</f>
        <v>8.5</v>
      </c>
      <c r="W273" s="421"/>
      <c r="X273" s="421"/>
      <c r="Y273" s="421"/>
    </row>
    <row r="274" spans="1:25" ht="39" customHeight="1">
      <c r="A274" s="278"/>
      <c r="B274" s="278"/>
      <c r="C274" s="365"/>
      <c r="D274" s="278"/>
      <c r="E274" s="278"/>
      <c r="F274" s="278"/>
      <c r="G274" s="88" t="s">
        <v>644</v>
      </c>
      <c r="H274" s="148">
        <v>2</v>
      </c>
      <c r="I274" s="377" t="s">
        <v>1919</v>
      </c>
      <c r="J274" s="378">
        <v>1</v>
      </c>
      <c r="K274" s="278"/>
      <c r="L274" s="278"/>
      <c r="M274" s="379" t="s">
        <v>222</v>
      </c>
      <c r="N274" s="378">
        <v>2</v>
      </c>
      <c r="O274" s="133" t="s">
        <v>1435</v>
      </c>
      <c r="P274" s="356">
        <v>1</v>
      </c>
      <c r="Q274" s="134">
        <v>15</v>
      </c>
      <c r="R274" s="358"/>
    </row>
    <row r="275" spans="1:25" ht="45" customHeight="1">
      <c r="A275" s="278"/>
      <c r="B275" s="278"/>
      <c r="C275" s="365"/>
      <c r="D275" s="278"/>
      <c r="E275" s="278"/>
      <c r="F275" s="278"/>
      <c r="G275" s="88" t="s">
        <v>1420</v>
      </c>
      <c r="H275" s="148">
        <v>1</v>
      </c>
      <c r="I275" s="377" t="s">
        <v>1920</v>
      </c>
      <c r="J275" s="378">
        <v>1</v>
      </c>
      <c r="K275" s="278"/>
      <c r="L275" s="278"/>
      <c r="M275" s="379" t="s">
        <v>1437</v>
      </c>
      <c r="N275" s="378">
        <v>1</v>
      </c>
      <c r="O275" s="133" t="s">
        <v>1438</v>
      </c>
      <c r="P275" s="356">
        <v>1</v>
      </c>
      <c r="Q275" s="134">
        <v>0</v>
      </c>
      <c r="R275" s="358"/>
    </row>
    <row r="276" spans="1:25" ht="27.75" customHeight="1">
      <c r="A276" s="278"/>
      <c r="B276" s="278"/>
      <c r="C276" s="365"/>
      <c r="D276" s="278"/>
      <c r="E276" s="278"/>
      <c r="F276" s="278"/>
      <c r="G276" s="88" t="s">
        <v>1921</v>
      </c>
      <c r="H276" s="148">
        <v>1</v>
      </c>
      <c r="I276" s="377" t="s">
        <v>1922</v>
      </c>
      <c r="J276" s="378">
        <v>1</v>
      </c>
      <c r="K276" s="278"/>
      <c r="L276" s="278"/>
      <c r="M276" s="379" t="s">
        <v>1430</v>
      </c>
      <c r="N276" s="378">
        <v>1</v>
      </c>
      <c r="O276" s="133" t="s">
        <v>1431</v>
      </c>
      <c r="P276" s="356">
        <v>1</v>
      </c>
      <c r="Q276" s="134">
        <v>0</v>
      </c>
      <c r="R276" s="358"/>
    </row>
    <row r="277" spans="1:25" ht="30">
      <c r="A277" s="278"/>
      <c r="B277" s="278"/>
      <c r="C277" s="365"/>
      <c r="D277" s="278"/>
      <c r="E277" s="278"/>
      <c r="F277" s="278"/>
      <c r="G277" s="88" t="s">
        <v>692</v>
      </c>
      <c r="H277" s="148">
        <v>3</v>
      </c>
      <c r="I277" s="377" t="s">
        <v>1923</v>
      </c>
      <c r="J277" s="378">
        <v>1</v>
      </c>
      <c r="K277" s="278"/>
      <c r="L277" s="278"/>
      <c r="M277" s="379" t="s">
        <v>1924</v>
      </c>
      <c r="N277" s="378">
        <v>1</v>
      </c>
      <c r="O277" s="133" t="s">
        <v>1455</v>
      </c>
      <c r="P277" s="356">
        <v>1</v>
      </c>
      <c r="Q277" s="134">
        <v>0</v>
      </c>
      <c r="R277" s="278"/>
    </row>
    <row r="278" spans="1:25" ht="32.25" customHeight="1">
      <c r="A278" s="278"/>
      <c r="B278" s="278"/>
      <c r="C278" s="365"/>
      <c r="D278" s="278"/>
      <c r="E278" s="278"/>
      <c r="F278" s="278"/>
      <c r="G278" s="44" t="s">
        <v>1925</v>
      </c>
      <c r="H278" s="148">
        <v>1</v>
      </c>
      <c r="I278" s="377" t="s">
        <v>1926</v>
      </c>
      <c r="J278" s="378">
        <v>1</v>
      </c>
      <c r="K278" s="278"/>
      <c r="L278" s="278"/>
      <c r="M278" s="379" t="s">
        <v>1467</v>
      </c>
      <c r="N278" s="378">
        <v>1</v>
      </c>
      <c r="O278" s="133" t="s">
        <v>628</v>
      </c>
      <c r="P278" s="356">
        <v>1</v>
      </c>
      <c r="Q278" s="134">
        <v>0</v>
      </c>
      <c r="R278" s="278"/>
    </row>
    <row r="279" spans="1:25" ht="36" customHeight="1">
      <c r="A279" s="278"/>
      <c r="B279" s="278"/>
      <c r="C279" s="365"/>
      <c r="D279" s="278"/>
      <c r="E279" s="278"/>
      <c r="F279" s="278"/>
      <c r="G279" s="88" t="s">
        <v>1927</v>
      </c>
      <c r="H279" s="148">
        <v>1</v>
      </c>
      <c r="I279" s="377" t="s">
        <v>1928</v>
      </c>
      <c r="J279" s="378">
        <v>1</v>
      </c>
      <c r="K279" s="278"/>
      <c r="L279" s="278"/>
      <c r="M279" s="379" t="s">
        <v>1929</v>
      </c>
      <c r="N279" s="378">
        <v>1</v>
      </c>
      <c r="O279" s="133" t="s">
        <v>1481</v>
      </c>
      <c r="P279" s="356">
        <v>1</v>
      </c>
      <c r="Q279" s="134">
        <v>0</v>
      </c>
      <c r="R279" s="278"/>
    </row>
    <row r="280" spans="1:25" ht="30">
      <c r="A280" s="278"/>
      <c r="B280" s="278"/>
      <c r="C280" s="365"/>
      <c r="D280" s="278"/>
      <c r="E280" s="278"/>
      <c r="F280" s="278"/>
      <c r="G280" s="88" t="s">
        <v>1930</v>
      </c>
      <c r="H280" s="148">
        <v>1</v>
      </c>
      <c r="I280" s="377" t="s">
        <v>1931</v>
      </c>
      <c r="J280" s="378">
        <v>1</v>
      </c>
      <c r="K280" s="278"/>
      <c r="L280" s="278"/>
      <c r="M280" s="379" t="s">
        <v>240</v>
      </c>
      <c r="N280" s="378">
        <v>1</v>
      </c>
      <c r="O280" s="133" t="s">
        <v>120</v>
      </c>
      <c r="P280" s="134">
        <v>2</v>
      </c>
      <c r="Q280" s="134">
        <f>14+15</f>
        <v>29</v>
      </c>
      <c r="R280" s="278"/>
    </row>
    <row r="281" spans="1:25" ht="15">
      <c r="A281" s="278"/>
      <c r="B281" s="278"/>
      <c r="C281" s="365"/>
      <c r="D281" s="278"/>
      <c r="E281" s="278"/>
      <c r="F281" s="278"/>
      <c r="G281" s="88" t="s">
        <v>1932</v>
      </c>
      <c r="H281" s="148">
        <v>1</v>
      </c>
      <c r="I281" s="377" t="s">
        <v>776</v>
      </c>
      <c r="J281" s="378">
        <v>1</v>
      </c>
      <c r="K281" s="278"/>
      <c r="L281" s="278"/>
      <c r="M281" s="379" t="s">
        <v>1493</v>
      </c>
      <c r="N281" s="378">
        <v>1</v>
      </c>
      <c r="O281" s="133" t="s">
        <v>982</v>
      </c>
      <c r="P281" s="134">
        <v>1</v>
      </c>
      <c r="Q281" s="134"/>
      <c r="R281" s="278"/>
    </row>
    <row r="282" spans="1:25" ht="15">
      <c r="A282" s="278"/>
      <c r="B282" s="278"/>
      <c r="C282" s="365"/>
      <c r="D282" s="278"/>
      <c r="E282" s="278"/>
      <c r="F282" s="278"/>
      <c r="G282" s="88" t="s">
        <v>287</v>
      </c>
      <c r="H282" s="148">
        <v>1</v>
      </c>
      <c r="I282" s="366"/>
      <c r="J282" s="278"/>
      <c r="K282" s="278"/>
      <c r="L282" s="278"/>
      <c r="M282" s="379" t="s">
        <v>1933</v>
      </c>
      <c r="N282" s="378">
        <v>1</v>
      </c>
      <c r="O282" s="133" t="s">
        <v>1509</v>
      </c>
      <c r="P282" s="359">
        <v>1</v>
      </c>
      <c r="Q282" s="134">
        <v>3</v>
      </c>
      <c r="R282" s="278"/>
    </row>
    <row r="283" spans="1:25" ht="30">
      <c r="A283" s="278"/>
      <c r="B283" s="278"/>
      <c r="C283" s="365"/>
      <c r="D283" s="278"/>
      <c r="E283" s="278"/>
      <c r="F283" s="278"/>
      <c r="G283" s="88" t="s">
        <v>1934</v>
      </c>
      <c r="H283" s="148">
        <v>1</v>
      </c>
      <c r="I283" s="366"/>
      <c r="J283" s="278"/>
      <c r="K283" s="278"/>
      <c r="L283" s="278"/>
      <c r="M283" s="379" t="s">
        <v>1508</v>
      </c>
      <c r="N283" s="378">
        <v>1</v>
      </c>
      <c r="O283" s="133" t="s">
        <v>1514</v>
      </c>
      <c r="P283" s="359">
        <v>1</v>
      </c>
      <c r="Q283" s="134">
        <v>0</v>
      </c>
      <c r="R283" s="278"/>
    </row>
    <row r="284" spans="1:25" ht="30" customHeight="1">
      <c r="A284" s="278"/>
      <c r="B284" s="278"/>
      <c r="C284" s="365"/>
      <c r="D284" s="278"/>
      <c r="E284" s="278"/>
      <c r="F284" s="278"/>
      <c r="G284" s="88" t="s">
        <v>1935</v>
      </c>
      <c r="H284" s="148">
        <v>1</v>
      </c>
      <c r="I284" s="366"/>
      <c r="J284" s="278"/>
      <c r="K284" s="278"/>
      <c r="L284" s="278"/>
      <c r="M284" s="379" t="s">
        <v>1839</v>
      </c>
      <c r="N284" s="378">
        <v>1</v>
      </c>
      <c r="O284" s="133" t="s">
        <v>1518</v>
      </c>
      <c r="P284" s="359">
        <v>1</v>
      </c>
      <c r="Q284" s="134">
        <v>0</v>
      </c>
      <c r="R284" s="278"/>
    </row>
    <row r="285" spans="1:25" ht="15">
      <c r="A285" s="278"/>
      <c r="B285" s="278"/>
      <c r="C285" s="365"/>
      <c r="D285" s="278"/>
      <c r="E285" s="278"/>
      <c r="F285" s="278"/>
      <c r="G285" s="365"/>
      <c r="H285" s="278"/>
      <c r="I285" s="366"/>
      <c r="J285" s="278"/>
      <c r="K285" s="278"/>
      <c r="L285" s="278"/>
      <c r="M285" s="379" t="s">
        <v>1936</v>
      </c>
      <c r="N285" s="378">
        <v>1</v>
      </c>
      <c r="O285" s="133" t="s">
        <v>1524</v>
      </c>
      <c r="P285" s="134">
        <v>1</v>
      </c>
      <c r="Q285" s="134">
        <v>0</v>
      </c>
      <c r="R285" s="278"/>
    </row>
    <row r="286" spans="1:25" ht="15">
      <c r="A286" s="334"/>
      <c r="B286" s="334"/>
      <c r="C286" s="236"/>
      <c r="D286" s="334"/>
      <c r="E286" s="334"/>
      <c r="F286" s="334"/>
      <c r="G286" s="236"/>
      <c r="H286" s="334"/>
      <c r="I286" s="242"/>
      <c r="J286" s="334"/>
      <c r="K286" s="334"/>
      <c r="L286" s="334"/>
      <c r="M286" s="244"/>
      <c r="N286" s="334"/>
      <c r="O286" s="242"/>
      <c r="P286" s="393"/>
      <c r="Q286" s="393"/>
      <c r="R286" s="334"/>
    </row>
    <row r="288" spans="1:25" ht="15">
      <c r="A288" s="283"/>
      <c r="B288" s="330">
        <f>SUM(B260:B287)</f>
        <v>45</v>
      </c>
      <c r="C288" s="283"/>
      <c r="D288" s="330">
        <f>SUM(D259:D275)</f>
        <v>45</v>
      </c>
      <c r="E288" s="284" t="s">
        <v>1706</v>
      </c>
      <c r="F288" s="330">
        <f>SUM(F259:F275)</f>
        <v>45</v>
      </c>
      <c r="G288" s="332"/>
      <c r="H288" s="330">
        <f>H281+H280+H279+H278+H277+H276+H275+H274+H273+H272+H271+H270+H269+H268+H267+H266+H265+H264+H263+H262+H261+H260+H259+H282+H283+H284</f>
        <v>45</v>
      </c>
      <c r="I288" s="283"/>
      <c r="J288" s="330">
        <f>J259+J260+J261+J262+J263+J264+J265+J266+J267+J268+J269+J270+J271+J272+J273+J274+J275+J276+J277+J278+J279+J280+J281</f>
        <v>45</v>
      </c>
      <c r="K288" s="283"/>
      <c r="L288" s="330">
        <f>SUM(L259:L261)</f>
        <v>45</v>
      </c>
      <c r="M288" s="333"/>
      <c r="N288" s="330">
        <f>N259+N260+N261+N262+N263+N264+N265+N266+N267+N268+N269+N270+N271+N272+N273+N274+N275+N276+N277+N278+N279+N280+N281+N282+N283+N284+N285</f>
        <v>45</v>
      </c>
      <c r="O288" s="283"/>
      <c r="P288" s="288">
        <f>P259+P260+P261+P262+P263+P264+P265+P266+P267+P268+P269+P270+P271+P272+P273+P274+P275+P276+P277+P278+P279+P280+P281+P282+P283+P284+P285</f>
        <v>45</v>
      </c>
      <c r="Q288" s="288">
        <f>SUM(Q259:Q285)</f>
        <v>97</v>
      </c>
      <c r="R288" s="283"/>
    </row>
    <row r="290" spans="1:18" ht="26.25">
      <c r="A290" s="407">
        <v>2026</v>
      </c>
      <c r="B290" s="407"/>
      <c r="C290" s="407"/>
      <c r="D290" s="407"/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</row>
    <row r="291" spans="1:18" ht="26.25" customHeight="1">
      <c r="A291" s="11" t="s">
        <v>1647</v>
      </c>
      <c r="B291" s="11"/>
      <c r="C291" s="11" t="s">
        <v>1648</v>
      </c>
      <c r="D291" s="11"/>
      <c r="E291" s="11" t="s">
        <v>1649</v>
      </c>
      <c r="F291" s="11"/>
      <c r="G291" s="11" t="s">
        <v>1650</v>
      </c>
      <c r="H291" s="11"/>
      <c r="I291" s="11" t="s">
        <v>13</v>
      </c>
      <c r="J291" s="11"/>
      <c r="K291" s="11" t="s">
        <v>1651</v>
      </c>
      <c r="L291" s="11"/>
      <c r="M291" s="11" t="s">
        <v>14</v>
      </c>
      <c r="N291" s="11"/>
      <c r="O291" s="11" t="s">
        <v>1652</v>
      </c>
      <c r="P291" s="11"/>
      <c r="Q291" s="274" t="s">
        <v>1653</v>
      </c>
      <c r="R291" s="274" t="s">
        <v>1654</v>
      </c>
    </row>
    <row r="292" spans="1:18" ht="30">
      <c r="A292" s="275"/>
      <c r="B292" s="275"/>
      <c r="C292" s="44" t="s">
        <v>425</v>
      </c>
      <c r="D292" s="148">
        <v>1</v>
      </c>
      <c r="E292" s="275" t="s">
        <v>1656</v>
      </c>
      <c r="F292" s="275">
        <v>3</v>
      </c>
      <c r="G292" s="88" t="s">
        <v>1582</v>
      </c>
      <c r="H292" s="148">
        <v>1</v>
      </c>
      <c r="I292" s="377" t="s">
        <v>1336</v>
      </c>
      <c r="J292" s="378">
        <v>1</v>
      </c>
      <c r="K292" s="148" t="s">
        <v>34</v>
      </c>
      <c r="L292" s="148">
        <v>22</v>
      </c>
      <c r="M292" s="377" t="s">
        <v>1588</v>
      </c>
      <c r="N292" s="378">
        <v>1</v>
      </c>
      <c r="O292" s="133" t="s">
        <v>1337</v>
      </c>
      <c r="P292" s="134"/>
      <c r="Q292" s="134"/>
      <c r="R292" s="148">
        <f>Q326</f>
        <v>140</v>
      </c>
    </row>
    <row r="293" spans="1:18" ht="30">
      <c r="A293" s="275" t="s">
        <v>1657</v>
      </c>
      <c r="B293" s="275">
        <v>23</v>
      </c>
      <c r="C293" s="44" t="s">
        <v>74</v>
      </c>
      <c r="D293" s="148">
        <v>16</v>
      </c>
      <c r="E293" s="275" t="s">
        <v>1658</v>
      </c>
      <c r="F293" s="275">
        <v>2</v>
      </c>
      <c r="G293" s="44" t="s">
        <v>950</v>
      </c>
      <c r="H293" s="148">
        <v>1</v>
      </c>
      <c r="I293" s="379" t="s">
        <v>1341</v>
      </c>
      <c r="J293" s="378">
        <v>1</v>
      </c>
      <c r="K293" s="148" t="s">
        <v>144</v>
      </c>
      <c r="L293" s="148">
        <v>5</v>
      </c>
      <c r="M293" s="379"/>
      <c r="N293" s="378"/>
      <c r="O293" s="92" t="s">
        <v>35</v>
      </c>
      <c r="P293" s="101">
        <v>3</v>
      </c>
      <c r="Q293" s="101">
        <v>12</v>
      </c>
      <c r="R293" s="148"/>
    </row>
    <row r="294" spans="1:18" ht="15">
      <c r="A294" s="275" t="s">
        <v>1783</v>
      </c>
      <c r="B294" s="275">
        <v>5</v>
      </c>
      <c r="C294" s="88" t="s">
        <v>148</v>
      </c>
      <c r="D294" s="148">
        <v>5</v>
      </c>
      <c r="E294" s="275" t="s">
        <v>1660</v>
      </c>
      <c r="F294" s="275">
        <v>5</v>
      </c>
      <c r="G294" s="88" t="s">
        <v>1351</v>
      </c>
      <c r="H294" s="148">
        <v>1</v>
      </c>
      <c r="I294" s="377" t="s">
        <v>209</v>
      </c>
      <c r="J294" s="378">
        <v>3</v>
      </c>
      <c r="K294" s="148" t="s">
        <v>1661</v>
      </c>
      <c r="L294" s="148">
        <v>1</v>
      </c>
      <c r="M294" s="379" t="s">
        <v>597</v>
      </c>
      <c r="N294" s="378">
        <v>1</v>
      </c>
      <c r="O294" s="133" t="s">
        <v>1017</v>
      </c>
      <c r="P294" s="134">
        <v>1</v>
      </c>
      <c r="Q294" s="134">
        <v>3</v>
      </c>
      <c r="R294" s="348"/>
    </row>
    <row r="295" spans="1:18" ht="15">
      <c r="A295" s="275"/>
      <c r="B295" s="275"/>
      <c r="C295" s="88" t="s">
        <v>1678</v>
      </c>
      <c r="D295" s="148">
        <v>1</v>
      </c>
      <c r="E295" s="275" t="s">
        <v>1662</v>
      </c>
      <c r="F295" s="275">
        <v>1</v>
      </c>
      <c r="G295" s="398" t="s">
        <v>57</v>
      </c>
      <c r="H295" s="148">
        <v>2</v>
      </c>
      <c r="I295" s="377" t="s">
        <v>934</v>
      </c>
      <c r="J295" s="378">
        <v>1</v>
      </c>
      <c r="K295" s="148"/>
      <c r="L295" s="148"/>
      <c r="M295" s="379"/>
      <c r="N295" s="378"/>
      <c r="O295" s="133" t="s">
        <v>1356</v>
      </c>
      <c r="P295" s="134"/>
      <c r="Q295" s="134"/>
      <c r="R295" s="148"/>
    </row>
    <row r="296" spans="1:18" ht="37.5" customHeight="1">
      <c r="A296" s="275"/>
      <c r="B296" s="275"/>
      <c r="C296" s="88" t="s">
        <v>1899</v>
      </c>
      <c r="D296" s="148"/>
      <c r="E296" s="275" t="s">
        <v>1663</v>
      </c>
      <c r="F296" s="275">
        <v>8</v>
      </c>
      <c r="G296" s="44" t="s">
        <v>1900</v>
      </c>
      <c r="H296" s="148">
        <v>2</v>
      </c>
      <c r="I296" s="377" t="s">
        <v>1901</v>
      </c>
      <c r="J296" s="378">
        <v>1</v>
      </c>
      <c r="K296" s="148"/>
      <c r="L296" s="148"/>
      <c r="M296" s="377" t="s">
        <v>1937</v>
      </c>
      <c r="N296" s="378">
        <v>2</v>
      </c>
      <c r="O296" s="133" t="s">
        <v>1563</v>
      </c>
      <c r="P296" s="134">
        <v>1</v>
      </c>
      <c r="Q296" s="134">
        <v>3</v>
      </c>
      <c r="R296" s="148"/>
    </row>
    <row r="297" spans="1:18" ht="15">
      <c r="A297" s="275"/>
      <c r="B297" s="275"/>
      <c r="C297" s="88" t="s">
        <v>1187</v>
      </c>
      <c r="D297" s="148">
        <v>1</v>
      </c>
      <c r="E297" s="275" t="s">
        <v>1664</v>
      </c>
      <c r="F297" s="275">
        <v>4</v>
      </c>
      <c r="G297" s="88" t="s">
        <v>63</v>
      </c>
      <c r="H297" s="148">
        <v>1</v>
      </c>
      <c r="I297" s="377"/>
      <c r="J297" s="378"/>
      <c r="K297" s="148"/>
      <c r="L297" s="148"/>
      <c r="M297" s="379"/>
      <c r="N297" s="378"/>
      <c r="O297" s="133" t="s">
        <v>1360</v>
      </c>
      <c r="P297" s="134">
        <v>1</v>
      </c>
      <c r="Q297" s="134">
        <v>12</v>
      </c>
      <c r="R297" s="148"/>
    </row>
    <row r="298" spans="1:18" ht="22.5" customHeight="1">
      <c r="A298" s="275"/>
      <c r="B298" s="275"/>
      <c r="C298" s="88" t="s">
        <v>1458</v>
      </c>
      <c r="D298" s="148"/>
      <c r="E298" s="275" t="s">
        <v>1665</v>
      </c>
      <c r="F298" s="275">
        <v>2</v>
      </c>
      <c r="G298" s="88" t="s">
        <v>1225</v>
      </c>
      <c r="H298" s="148">
        <v>2</v>
      </c>
      <c r="I298" s="377" t="s">
        <v>1221</v>
      </c>
      <c r="J298" s="378">
        <v>2</v>
      </c>
      <c r="K298" s="148"/>
      <c r="L298" s="148"/>
      <c r="M298" s="379"/>
      <c r="N298" s="378"/>
      <c r="O298" s="133" t="s">
        <v>1369</v>
      </c>
      <c r="P298" s="134"/>
      <c r="Q298" s="134"/>
      <c r="R298" s="274" t="s">
        <v>1855</v>
      </c>
    </row>
    <row r="299" spans="1:18" ht="30">
      <c r="A299" s="275"/>
      <c r="B299" s="275"/>
      <c r="C299" s="88" t="s">
        <v>1823</v>
      </c>
      <c r="D299" s="148">
        <v>2</v>
      </c>
      <c r="E299" s="275" t="s">
        <v>1666</v>
      </c>
      <c r="F299" s="275">
        <v>3</v>
      </c>
      <c r="G299" s="88" t="s">
        <v>1367</v>
      </c>
      <c r="H299" s="148"/>
      <c r="I299" s="377" t="s">
        <v>992</v>
      </c>
      <c r="J299" s="378">
        <v>2</v>
      </c>
      <c r="K299" s="148"/>
      <c r="L299" s="148"/>
      <c r="M299" s="379"/>
      <c r="N299" s="378"/>
      <c r="O299" s="133" t="s">
        <v>558</v>
      </c>
      <c r="P299" s="134"/>
      <c r="Q299" s="134"/>
      <c r="R299" s="348">
        <v>13</v>
      </c>
    </row>
    <row r="300" spans="1:18" ht="33.75" customHeight="1">
      <c r="A300" s="275"/>
      <c r="B300" s="275"/>
      <c r="C300" s="88"/>
      <c r="D300" s="148"/>
      <c r="E300" s="275" t="s">
        <v>1667</v>
      </c>
      <c r="F300" s="275"/>
      <c r="G300" s="88" t="s">
        <v>1532</v>
      </c>
      <c r="H300" s="148">
        <v>1</v>
      </c>
      <c r="I300" s="377"/>
      <c r="J300" s="378"/>
      <c r="K300" s="148"/>
      <c r="L300" s="148"/>
      <c r="M300" s="379"/>
      <c r="N300" s="378"/>
      <c r="O300" s="133" t="s">
        <v>45</v>
      </c>
      <c r="P300" s="356">
        <v>2</v>
      </c>
      <c r="Q300" s="134"/>
      <c r="R300" s="148"/>
    </row>
    <row r="301" spans="1:18" ht="30">
      <c r="A301" s="275"/>
      <c r="B301" s="275"/>
      <c r="C301" s="88" t="s">
        <v>887</v>
      </c>
      <c r="D301" s="148">
        <v>2</v>
      </c>
      <c r="E301" s="275" t="s">
        <v>1668</v>
      </c>
      <c r="F301" s="275"/>
      <c r="G301" s="88" t="s">
        <v>1393</v>
      </c>
      <c r="H301" s="148"/>
      <c r="I301" s="377"/>
      <c r="J301" s="378"/>
      <c r="K301" s="148"/>
      <c r="L301" s="148"/>
      <c r="M301" s="379" t="s">
        <v>1822</v>
      </c>
      <c r="N301" s="378">
        <v>1</v>
      </c>
      <c r="O301" s="133" t="s">
        <v>1390</v>
      </c>
      <c r="P301" s="134"/>
      <c r="Q301" s="134"/>
      <c r="R301" s="148"/>
    </row>
    <row r="302" spans="1:18" ht="32.25" customHeight="1">
      <c r="A302" s="275"/>
      <c r="B302" s="275"/>
      <c r="C302" s="88"/>
      <c r="D302" s="148"/>
      <c r="E302" s="275" t="s">
        <v>1669</v>
      </c>
      <c r="F302" s="275"/>
      <c r="G302" s="88" t="s">
        <v>1938</v>
      </c>
      <c r="H302" s="148">
        <v>3</v>
      </c>
      <c r="I302" s="377" t="s">
        <v>1939</v>
      </c>
      <c r="J302" s="378">
        <v>3</v>
      </c>
      <c r="K302" s="148"/>
      <c r="L302" s="148"/>
      <c r="M302" s="379"/>
      <c r="N302" s="378"/>
      <c r="O302" s="133" t="s">
        <v>1404</v>
      </c>
      <c r="P302" s="134"/>
      <c r="Q302" s="357"/>
      <c r="R302" s="148"/>
    </row>
    <row r="303" spans="1:18" ht="32.25" customHeight="1">
      <c r="A303" s="275"/>
      <c r="B303" s="275"/>
      <c r="C303" s="88"/>
      <c r="D303" s="148"/>
      <c r="E303" s="275" t="s">
        <v>1670</v>
      </c>
      <c r="F303" s="275"/>
      <c r="G303" s="88" t="s">
        <v>1385</v>
      </c>
      <c r="H303" s="148"/>
      <c r="I303" s="377" t="s">
        <v>1048</v>
      </c>
      <c r="J303" s="378">
        <v>1</v>
      </c>
      <c r="K303" s="148"/>
      <c r="L303" s="148"/>
      <c r="M303" s="379"/>
      <c r="N303" s="378"/>
      <c r="O303" s="133" t="s">
        <v>1472</v>
      </c>
      <c r="P303" s="356"/>
      <c r="Q303" s="134"/>
      <c r="R303" s="358"/>
    </row>
    <row r="304" spans="1:18" ht="26.25" customHeight="1">
      <c r="A304" s="275"/>
      <c r="B304" s="275"/>
      <c r="C304" s="88"/>
      <c r="D304" s="148"/>
      <c r="E304" s="275"/>
      <c r="F304" s="275"/>
      <c r="G304" s="88" t="s">
        <v>1576</v>
      </c>
      <c r="H304" s="148">
        <v>1</v>
      </c>
      <c r="I304" s="377"/>
      <c r="J304" s="378"/>
      <c r="K304" s="148"/>
      <c r="L304" s="148"/>
      <c r="M304" s="379" t="s">
        <v>297</v>
      </c>
      <c r="N304" s="378">
        <v>1</v>
      </c>
      <c r="O304" s="133" t="s">
        <v>1159</v>
      </c>
      <c r="P304" s="359">
        <v>5</v>
      </c>
      <c r="Q304" s="134"/>
      <c r="R304" s="358"/>
    </row>
    <row r="305" spans="1:18" ht="15">
      <c r="A305" s="278"/>
      <c r="B305" s="278"/>
      <c r="C305" s="365"/>
      <c r="D305" s="278"/>
      <c r="E305" s="278"/>
      <c r="F305" s="278"/>
      <c r="G305" s="88" t="s">
        <v>292</v>
      </c>
      <c r="H305" s="148"/>
      <c r="I305" s="377"/>
      <c r="J305" s="378"/>
      <c r="K305" s="148"/>
      <c r="L305" s="148"/>
      <c r="M305" s="379" t="s">
        <v>1915</v>
      </c>
      <c r="N305" s="378">
        <v>2</v>
      </c>
      <c r="O305" s="133" t="s">
        <v>1916</v>
      </c>
      <c r="P305" s="356"/>
      <c r="Q305" s="134"/>
      <c r="R305" s="358"/>
    </row>
    <row r="306" spans="1:18" ht="15">
      <c r="A306" s="278"/>
      <c r="B306" s="278"/>
      <c r="C306" s="365"/>
      <c r="D306" s="278"/>
      <c r="E306" s="278"/>
      <c r="F306" s="278"/>
      <c r="G306" s="88" t="s">
        <v>1414</v>
      </c>
      <c r="H306" s="148"/>
      <c r="I306" s="377" t="s">
        <v>1940</v>
      </c>
      <c r="J306" s="378">
        <v>1</v>
      </c>
      <c r="K306" s="148"/>
      <c r="L306" s="148"/>
      <c r="M306" s="379"/>
      <c r="N306" s="378"/>
      <c r="O306" s="133" t="s">
        <v>298</v>
      </c>
      <c r="P306" s="356">
        <v>1</v>
      </c>
      <c r="Q306" s="134"/>
      <c r="R306" s="358"/>
    </row>
    <row r="307" spans="1:18" ht="15">
      <c r="A307" s="278"/>
      <c r="B307" s="278"/>
      <c r="C307" s="365"/>
      <c r="D307" s="278"/>
      <c r="E307" s="278"/>
      <c r="F307" s="278"/>
      <c r="G307" s="88" t="s">
        <v>644</v>
      </c>
      <c r="H307" s="148">
        <v>3</v>
      </c>
      <c r="I307" s="377"/>
      <c r="J307" s="378"/>
      <c r="K307" s="278"/>
      <c r="L307" s="278"/>
      <c r="M307" s="379" t="s">
        <v>222</v>
      </c>
      <c r="N307" s="378">
        <v>2</v>
      </c>
      <c r="O307" s="133" t="s">
        <v>173</v>
      </c>
      <c r="P307" s="356">
        <v>1</v>
      </c>
      <c r="Q307" s="134">
        <v>7</v>
      </c>
      <c r="R307" s="358"/>
    </row>
    <row r="308" spans="1:18" ht="30">
      <c r="A308" s="278"/>
      <c r="B308" s="278"/>
      <c r="C308" s="365"/>
      <c r="D308" s="278"/>
      <c r="E308" s="278"/>
      <c r="F308" s="278"/>
      <c r="G308" s="88" t="s">
        <v>692</v>
      </c>
      <c r="H308" s="148">
        <v>1</v>
      </c>
      <c r="I308" s="377"/>
      <c r="J308" s="378"/>
      <c r="K308" s="278"/>
      <c r="L308" s="278"/>
      <c r="M308" s="379" t="s">
        <v>1924</v>
      </c>
      <c r="N308" s="378">
        <v>1</v>
      </c>
      <c r="O308" s="133" t="s">
        <v>1455</v>
      </c>
      <c r="P308" s="356"/>
      <c r="Q308" s="134"/>
      <c r="R308" s="278"/>
    </row>
    <row r="309" spans="1:18" ht="30">
      <c r="A309" s="278"/>
      <c r="B309" s="278"/>
      <c r="C309" s="365"/>
      <c r="D309" s="278"/>
      <c r="E309" s="278"/>
      <c r="F309" s="278"/>
      <c r="G309" s="44" t="s">
        <v>1925</v>
      </c>
      <c r="H309" s="148"/>
      <c r="I309" s="377" t="s">
        <v>1941</v>
      </c>
      <c r="J309" s="378">
        <v>1</v>
      </c>
      <c r="K309" s="278"/>
      <c r="L309" s="278"/>
      <c r="M309" s="379" t="s">
        <v>1604</v>
      </c>
      <c r="N309" s="378">
        <v>1</v>
      </c>
      <c r="O309" s="133" t="s">
        <v>628</v>
      </c>
      <c r="P309" s="356"/>
      <c r="Q309" s="134"/>
      <c r="R309" s="278"/>
    </row>
    <row r="310" spans="1:18" ht="15">
      <c r="A310" s="278"/>
      <c r="B310" s="278"/>
      <c r="C310" s="365"/>
      <c r="D310" s="278"/>
      <c r="E310" s="278"/>
      <c r="F310" s="278"/>
      <c r="G310" s="88" t="s">
        <v>1927</v>
      </c>
      <c r="H310" s="148"/>
      <c r="I310" s="377"/>
      <c r="J310" s="378"/>
      <c r="K310" s="278"/>
      <c r="L310" s="278"/>
      <c r="M310" s="379" t="s">
        <v>1534</v>
      </c>
      <c r="N310" s="378">
        <v>1</v>
      </c>
      <c r="O310" s="133" t="s">
        <v>1481</v>
      </c>
      <c r="P310" s="356"/>
      <c r="Q310" s="134"/>
      <c r="R310" s="278"/>
    </row>
    <row r="311" spans="1:18" ht="15">
      <c r="A311" s="278"/>
      <c r="B311" s="278"/>
      <c r="C311" s="365"/>
      <c r="D311" s="278"/>
      <c r="E311" s="278"/>
      <c r="F311" s="278"/>
      <c r="G311" s="88" t="s">
        <v>1930</v>
      </c>
      <c r="H311" s="148"/>
      <c r="I311" s="377"/>
      <c r="J311" s="378"/>
      <c r="K311" s="278"/>
      <c r="L311" s="278"/>
      <c r="M311" s="379" t="s">
        <v>1942</v>
      </c>
      <c r="N311" s="378">
        <v>1</v>
      </c>
      <c r="O311" s="133" t="s">
        <v>120</v>
      </c>
      <c r="P311" s="134"/>
      <c r="Q311" s="134"/>
      <c r="R311" s="278"/>
    </row>
    <row r="312" spans="1:18" ht="15">
      <c r="A312" s="278"/>
      <c r="B312" s="278"/>
      <c r="C312" s="365"/>
      <c r="D312" s="278"/>
      <c r="E312" s="278"/>
      <c r="F312" s="278"/>
      <c r="G312" s="88"/>
      <c r="H312" s="148"/>
      <c r="I312" s="377"/>
      <c r="J312" s="378"/>
      <c r="K312" s="278"/>
      <c r="L312" s="278"/>
      <c r="M312" s="379" t="s">
        <v>1943</v>
      </c>
      <c r="N312" s="378">
        <v>1</v>
      </c>
      <c r="O312" s="133"/>
      <c r="P312" s="134"/>
      <c r="Q312" s="134"/>
      <c r="R312" s="278"/>
    </row>
    <row r="313" spans="1:18" ht="30">
      <c r="A313" s="278"/>
      <c r="B313" s="278"/>
      <c r="C313" s="365"/>
      <c r="D313" s="278"/>
      <c r="E313" s="278"/>
      <c r="F313" s="278"/>
      <c r="G313" s="88" t="s">
        <v>1527</v>
      </c>
      <c r="H313" s="148">
        <v>1</v>
      </c>
      <c r="I313" s="377" t="s">
        <v>1537</v>
      </c>
      <c r="J313" s="378">
        <v>2</v>
      </c>
      <c r="K313" s="278"/>
      <c r="L313" s="278"/>
      <c r="M313" s="379" t="s">
        <v>1839</v>
      </c>
      <c r="N313" s="378">
        <v>3</v>
      </c>
      <c r="O313" s="133" t="s">
        <v>1509</v>
      </c>
      <c r="P313" s="359"/>
      <c r="Q313" s="134"/>
      <c r="R313" s="278"/>
    </row>
    <row r="314" spans="1:18" ht="45">
      <c r="A314" s="278"/>
      <c r="B314" s="278"/>
      <c r="C314" s="365"/>
      <c r="D314" s="278"/>
      <c r="E314" s="278"/>
      <c r="F314" s="278"/>
      <c r="G314" s="88" t="s">
        <v>1934</v>
      </c>
      <c r="H314" s="148">
        <v>1</v>
      </c>
      <c r="I314" s="377" t="s">
        <v>1124</v>
      </c>
      <c r="J314" s="378">
        <v>2</v>
      </c>
      <c r="K314" s="278"/>
      <c r="L314" s="278"/>
      <c r="M314" s="379" t="s">
        <v>1944</v>
      </c>
      <c r="N314" s="378">
        <v>1</v>
      </c>
      <c r="O314" s="133" t="s">
        <v>1548</v>
      </c>
      <c r="P314" s="359">
        <v>1</v>
      </c>
      <c r="Q314" s="134">
        <v>8</v>
      </c>
      <c r="R314" s="278"/>
    </row>
    <row r="315" spans="1:18" ht="30">
      <c r="A315" s="278"/>
      <c r="B315" s="278"/>
      <c r="C315" s="365"/>
      <c r="D315" s="278"/>
      <c r="E315" s="278"/>
      <c r="F315" s="278"/>
      <c r="G315" s="88" t="s">
        <v>1208</v>
      </c>
      <c r="H315" s="148">
        <v>1</v>
      </c>
      <c r="I315" s="377" t="s">
        <v>892</v>
      </c>
      <c r="J315" s="378">
        <v>1</v>
      </c>
      <c r="K315" s="278"/>
      <c r="L315" s="278"/>
      <c r="M315" s="379" t="s">
        <v>1945</v>
      </c>
      <c r="N315" s="378">
        <v>1</v>
      </c>
      <c r="O315" s="133" t="s">
        <v>1572</v>
      </c>
      <c r="P315" s="359">
        <v>1</v>
      </c>
      <c r="Q315" s="134">
        <v>1</v>
      </c>
      <c r="R315" s="278"/>
    </row>
    <row r="316" spans="1:18" ht="60" customHeight="1">
      <c r="A316" s="278"/>
      <c r="B316" s="278"/>
      <c r="C316" s="365"/>
      <c r="D316" s="278"/>
      <c r="E316" s="278"/>
      <c r="F316" s="278"/>
      <c r="G316" s="88" t="s">
        <v>473</v>
      </c>
      <c r="H316" s="148">
        <v>1</v>
      </c>
      <c r="I316" s="377" t="s">
        <v>1554</v>
      </c>
      <c r="J316" s="378">
        <v>2</v>
      </c>
      <c r="K316" s="278"/>
      <c r="L316" s="278"/>
      <c r="M316" s="379" t="s">
        <v>1547</v>
      </c>
      <c r="N316" s="378">
        <v>1</v>
      </c>
      <c r="O316" s="133" t="s">
        <v>66</v>
      </c>
      <c r="P316" s="134">
        <v>2</v>
      </c>
      <c r="Q316" s="134"/>
      <c r="R316" s="278"/>
    </row>
    <row r="317" spans="1:18" ht="33" customHeight="1">
      <c r="A317" s="278"/>
      <c r="B317" s="278"/>
      <c r="C317" s="365"/>
      <c r="D317" s="278"/>
      <c r="E317" s="278"/>
      <c r="F317" s="278"/>
      <c r="G317" s="88" t="s">
        <v>1571</v>
      </c>
      <c r="H317" s="148">
        <v>1</v>
      </c>
      <c r="I317" s="377" t="s">
        <v>142</v>
      </c>
      <c r="J317" s="378">
        <v>1</v>
      </c>
      <c r="K317" s="278"/>
      <c r="L317" s="278"/>
      <c r="M317" s="379" t="s">
        <v>240</v>
      </c>
      <c r="N317" s="378">
        <v>4</v>
      </c>
      <c r="O317" s="133" t="s">
        <v>1579</v>
      </c>
      <c r="P317" s="134">
        <v>1</v>
      </c>
      <c r="Q317" s="134"/>
      <c r="R317" s="278"/>
    </row>
    <row r="318" spans="1:18" ht="15">
      <c r="A318" s="278"/>
      <c r="B318" s="278"/>
      <c r="C318" s="365"/>
      <c r="D318" s="278"/>
      <c r="E318" s="278"/>
      <c r="F318" s="278"/>
      <c r="G318" s="88" t="s">
        <v>1553</v>
      </c>
      <c r="H318" s="148">
        <v>1</v>
      </c>
      <c r="I318" s="377" t="s">
        <v>1267</v>
      </c>
      <c r="J318" s="378">
        <v>1</v>
      </c>
      <c r="K318" s="278"/>
      <c r="L318" s="278"/>
      <c r="M318" s="379" t="s">
        <v>1946</v>
      </c>
      <c r="N318" s="378">
        <v>1</v>
      </c>
      <c r="O318" s="133" t="s">
        <v>628</v>
      </c>
      <c r="P318" s="134">
        <v>2</v>
      </c>
      <c r="Q318" s="134">
        <v>2</v>
      </c>
      <c r="R318" s="278"/>
    </row>
    <row r="319" spans="1:18" ht="30">
      <c r="A319" s="278"/>
      <c r="B319" s="278"/>
      <c r="C319" s="365"/>
      <c r="D319" s="278"/>
      <c r="E319" s="278"/>
      <c r="F319" s="278"/>
      <c r="G319" s="88" t="s">
        <v>1163</v>
      </c>
      <c r="H319" s="148">
        <v>1</v>
      </c>
      <c r="I319" s="377" t="s">
        <v>176</v>
      </c>
      <c r="J319" s="378">
        <v>1</v>
      </c>
      <c r="K319" s="278"/>
      <c r="L319" s="278"/>
      <c r="M319" s="379" t="s">
        <v>1947</v>
      </c>
      <c r="N319" s="378">
        <v>1</v>
      </c>
      <c r="O319" s="133" t="s">
        <v>482</v>
      </c>
      <c r="P319" s="134">
        <v>1</v>
      </c>
      <c r="Q319" s="134">
        <v>8</v>
      </c>
      <c r="R319" s="278"/>
    </row>
    <row r="320" spans="1:18" ht="30">
      <c r="A320" s="278"/>
      <c r="B320" s="278"/>
      <c r="C320" s="365"/>
      <c r="D320" s="278"/>
      <c r="E320" s="278"/>
      <c r="F320" s="278"/>
      <c r="G320" s="88" t="s">
        <v>1179</v>
      </c>
      <c r="H320" s="148">
        <v>1</v>
      </c>
      <c r="I320" s="377"/>
      <c r="J320" s="378"/>
      <c r="K320" s="278"/>
      <c r="L320" s="278"/>
      <c r="M320" s="379" t="s">
        <v>1948</v>
      </c>
      <c r="N320" s="378">
        <v>1</v>
      </c>
      <c r="O320" s="133" t="s">
        <v>1620</v>
      </c>
      <c r="P320" s="134">
        <v>1</v>
      </c>
      <c r="Q320" s="134"/>
      <c r="R320" s="278"/>
    </row>
    <row r="321" spans="1:18" ht="15">
      <c r="A321" s="278"/>
      <c r="B321" s="278"/>
      <c r="C321" s="365"/>
      <c r="D321" s="278"/>
      <c r="E321" s="278"/>
      <c r="F321" s="278"/>
      <c r="G321" s="88" t="s">
        <v>1612</v>
      </c>
      <c r="H321" s="148">
        <v>1</v>
      </c>
      <c r="I321" s="377"/>
      <c r="J321" s="378"/>
      <c r="K321" s="278"/>
      <c r="L321" s="278"/>
      <c r="M321" s="379"/>
      <c r="N321" s="378"/>
      <c r="O321" s="133" t="s">
        <v>1615</v>
      </c>
      <c r="P321" s="134">
        <v>1</v>
      </c>
      <c r="Q321" s="134">
        <v>3</v>
      </c>
      <c r="R321" s="278"/>
    </row>
    <row r="322" spans="1:18" ht="42.75" customHeight="1">
      <c r="A322" s="278"/>
      <c r="B322" s="278"/>
      <c r="C322" s="365"/>
      <c r="D322" s="278"/>
      <c r="E322" s="278"/>
      <c r="F322" s="278"/>
      <c r="G322" s="88" t="s">
        <v>889</v>
      </c>
      <c r="H322" s="148">
        <v>1</v>
      </c>
      <c r="I322" s="377" t="s">
        <v>1303</v>
      </c>
      <c r="J322" s="378">
        <v>1</v>
      </c>
      <c r="K322" s="278"/>
      <c r="L322" s="278"/>
      <c r="M322" s="379"/>
      <c r="N322" s="378"/>
      <c r="O322" s="133" t="s">
        <v>1593</v>
      </c>
      <c r="P322" s="134">
        <v>1</v>
      </c>
      <c r="Q322" s="134">
        <v>30</v>
      </c>
      <c r="R322" s="278"/>
    </row>
    <row r="323" spans="1:18" ht="15">
      <c r="O323" s="133" t="s">
        <v>1598</v>
      </c>
      <c r="P323" s="134">
        <v>1</v>
      </c>
      <c r="Q323" s="134">
        <v>6</v>
      </c>
      <c r="R323" s="334"/>
    </row>
    <row r="324" spans="1:18" ht="15">
      <c r="A324" s="334"/>
      <c r="B324" s="334"/>
      <c r="C324" s="236"/>
      <c r="D324" s="334"/>
      <c r="E324" s="334"/>
      <c r="F324" s="334"/>
      <c r="I324" s="242"/>
      <c r="J324" s="334"/>
      <c r="K324" s="334"/>
      <c r="L324" s="334"/>
      <c r="M324" s="379"/>
      <c r="N324" s="378"/>
      <c r="O324" s="133" t="s">
        <v>267</v>
      </c>
      <c r="P324" s="134">
        <v>1</v>
      </c>
      <c r="Q324" s="134">
        <v>45</v>
      </c>
      <c r="R324" s="334"/>
    </row>
    <row r="326" spans="1:18" ht="15">
      <c r="A326" s="283"/>
      <c r="B326" s="330">
        <f>SUM(B293:B325)</f>
        <v>28</v>
      </c>
      <c r="C326" s="283"/>
      <c r="D326" s="330">
        <f>SUM(D292:D307)</f>
        <v>28</v>
      </c>
      <c r="E326" s="284" t="s">
        <v>1706</v>
      </c>
      <c r="F326" s="330">
        <f>F292+F293+F294+F295+F296+F297+F298+F299+F300+F301+F302+F303</f>
        <v>28</v>
      </c>
      <c r="G326" s="332"/>
      <c r="H326" s="330">
        <f>H292+H293+H294+H295+H296+H297+H298+H299+H300+H301+H302+H303+H304+H305+H306+H307+H308+H309+H310+H311+H312+H313+H314+H315+H316+H317+H318+H319+H320+H322</f>
        <v>28</v>
      </c>
      <c r="I326" s="283"/>
      <c r="J326" s="330">
        <f>J292+J293+J294+J295+J296+J297+J298+J299+J300+J301+J302+J303+J304+J305+J306+J307+J308+J309+J310+J311+J312+J313+J314+J315+J316+J317+J318+J319+J322</f>
        <v>28</v>
      </c>
      <c r="K326" s="283"/>
      <c r="L326" s="330">
        <f>SUM(L292:L294)</f>
        <v>28</v>
      </c>
      <c r="M326" s="333"/>
      <c r="N326" s="330">
        <f>SUM(N292:N322)</f>
        <v>28</v>
      </c>
      <c r="O326" s="283"/>
      <c r="P326" s="288">
        <f>P293+P294+P296+P297+P300+P304+P306+P307+P314+P315+P316+P317+P318+P320+P321+P322+P319+P323+P324</f>
        <v>28</v>
      </c>
      <c r="Q326" s="288">
        <f>Q324+Q323+Q322+Q321+Q319+Q318+Q315+Q314+Q307+Q297+Q296+Q294+Q293</f>
        <v>140</v>
      </c>
      <c r="R326" s="283"/>
    </row>
  </sheetData>
  <mergeCells count="325">
    <mergeCell ref="X268:Y268"/>
    <mergeCell ref="Z268:AB268"/>
    <mergeCell ref="Z270:AB270"/>
    <mergeCell ref="V272:Z272"/>
    <mergeCell ref="V273:Y273"/>
    <mergeCell ref="A290:R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X263:Y263"/>
    <mergeCell ref="Z263:AB263"/>
    <mergeCell ref="X264:Y264"/>
    <mergeCell ref="Z264:AB264"/>
    <mergeCell ref="X265:Y265"/>
    <mergeCell ref="Z265:AB265"/>
    <mergeCell ref="X266:Y266"/>
    <mergeCell ref="Z266:AB266"/>
    <mergeCell ref="X267:Y267"/>
    <mergeCell ref="Z267:AB267"/>
    <mergeCell ref="Z258:AB258"/>
    <mergeCell ref="X259:Y259"/>
    <mergeCell ref="Z259:AB259"/>
    <mergeCell ref="X260:Y260"/>
    <mergeCell ref="Z260:AB260"/>
    <mergeCell ref="X261:Y261"/>
    <mergeCell ref="Z261:AB261"/>
    <mergeCell ref="X262:Y262"/>
    <mergeCell ref="Z262:AB262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X258:Y258"/>
    <mergeCell ref="AA245:AB245"/>
    <mergeCell ref="AF246:AJ246"/>
    <mergeCell ref="T254:AB254"/>
    <mergeCell ref="X255:Y255"/>
    <mergeCell ref="Z255:AB255"/>
    <mergeCell ref="X256:Y256"/>
    <mergeCell ref="Z256:AB256"/>
    <mergeCell ref="AI256:AJ256"/>
    <mergeCell ref="A257:R257"/>
    <mergeCell ref="X257:Y257"/>
    <mergeCell ref="Z257:AB257"/>
    <mergeCell ref="T242:U242"/>
    <mergeCell ref="V242:Z242"/>
    <mergeCell ref="AA242:AB242"/>
    <mergeCell ref="AF242:AJ242"/>
    <mergeCell ref="T243:U243"/>
    <mergeCell ref="V243:Z243"/>
    <mergeCell ref="AA243:AB243"/>
    <mergeCell ref="AF243:AJ243"/>
    <mergeCell ref="T244:U244"/>
    <mergeCell ref="V244:Z244"/>
    <mergeCell ref="AA244:AB244"/>
    <mergeCell ref="AF244:AJ244"/>
    <mergeCell ref="AI231:AJ231"/>
    <mergeCell ref="AI232:AJ232"/>
    <mergeCell ref="AI233:AJ233"/>
    <mergeCell ref="AI234:AJ234"/>
    <mergeCell ref="AI235:AJ235"/>
    <mergeCell ref="T236:AI236"/>
    <mergeCell ref="T238:AB238"/>
    <mergeCell ref="AI238:AJ238"/>
    <mergeCell ref="T240:U241"/>
    <mergeCell ref="V240:Z241"/>
    <mergeCell ref="AA240:AB240"/>
    <mergeCell ref="AF240:AJ241"/>
    <mergeCell ref="AA241:AB241"/>
    <mergeCell ref="AI222:AJ222"/>
    <mergeCell ref="AI223:AJ223"/>
    <mergeCell ref="AI224:AJ224"/>
    <mergeCell ref="AI225:AJ225"/>
    <mergeCell ref="AI226:AJ226"/>
    <mergeCell ref="AI227:AJ227"/>
    <mergeCell ref="AI228:AJ228"/>
    <mergeCell ref="AI229:AJ229"/>
    <mergeCell ref="AI230:AJ23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AI221:AJ221"/>
    <mergeCell ref="AI213:AJ213"/>
    <mergeCell ref="AI214:AJ214"/>
    <mergeCell ref="AI215:AJ215"/>
    <mergeCell ref="AI216:AJ216"/>
    <mergeCell ref="AI217:AJ217"/>
    <mergeCell ref="AI218:AJ218"/>
    <mergeCell ref="AI219:AJ219"/>
    <mergeCell ref="A220:R220"/>
    <mergeCell ref="AI220:AJ220"/>
    <mergeCell ref="AI204:AJ204"/>
    <mergeCell ref="AI205:AJ205"/>
    <mergeCell ref="AI206:AJ206"/>
    <mergeCell ref="AI207:AJ207"/>
    <mergeCell ref="AI208:AJ208"/>
    <mergeCell ref="AI209:AJ209"/>
    <mergeCell ref="AI210:AJ210"/>
    <mergeCell ref="AI211:AJ211"/>
    <mergeCell ref="AI212:AJ212"/>
    <mergeCell ref="AI195:AJ195"/>
    <mergeCell ref="AI196:AJ196"/>
    <mergeCell ref="AI197:AJ197"/>
    <mergeCell ref="AI198:AJ198"/>
    <mergeCell ref="AI199:AJ199"/>
    <mergeCell ref="AI200:AJ200"/>
    <mergeCell ref="AI201:AJ201"/>
    <mergeCell ref="AI202:AJ202"/>
    <mergeCell ref="AI203:AJ203"/>
    <mergeCell ref="A188:R188"/>
    <mergeCell ref="AI188:AJ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I189:AJ189"/>
    <mergeCell ref="AI170:AJ170"/>
    <mergeCell ref="AI171:AJ171"/>
    <mergeCell ref="AI172:AJ172"/>
    <mergeCell ref="AI173:AJ173"/>
    <mergeCell ref="AI174:AJ174"/>
    <mergeCell ref="AI175:AJ175"/>
    <mergeCell ref="AI176:AJ176"/>
    <mergeCell ref="AI177:AJ177"/>
    <mergeCell ref="T178:T235"/>
    <mergeCell ref="AI178:AJ178"/>
    <mergeCell ref="AI179:AJ179"/>
    <mergeCell ref="AI180:AJ180"/>
    <mergeCell ref="AI181:AJ181"/>
    <mergeCell ref="AI182:AJ182"/>
    <mergeCell ref="AI183:AJ183"/>
    <mergeCell ref="AI184:AJ184"/>
    <mergeCell ref="AI185:AJ185"/>
    <mergeCell ref="AI186:AJ186"/>
    <mergeCell ref="AI187:AJ187"/>
    <mergeCell ref="AI190:AJ190"/>
    <mergeCell ref="AI191:AJ191"/>
    <mergeCell ref="AI192:AJ192"/>
    <mergeCell ref="AI193:AJ193"/>
    <mergeCell ref="AI194:AJ194"/>
    <mergeCell ref="AI161:AJ161"/>
    <mergeCell ref="AI162:AJ162"/>
    <mergeCell ref="AI163:AJ163"/>
    <mergeCell ref="AI164:AJ164"/>
    <mergeCell ref="AI165:AJ165"/>
    <mergeCell ref="AI166:AJ166"/>
    <mergeCell ref="AI167:AJ167"/>
    <mergeCell ref="AI168:AJ168"/>
    <mergeCell ref="AI169:AJ169"/>
    <mergeCell ref="AI156:AJ156"/>
    <mergeCell ref="AI157:AJ157"/>
    <mergeCell ref="AI158:AJ158"/>
    <mergeCell ref="A159:R159"/>
    <mergeCell ref="AI159:AJ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I160:AJ160"/>
    <mergeCell ref="AI147:AJ147"/>
    <mergeCell ref="AI148:AJ148"/>
    <mergeCell ref="AI149:AJ149"/>
    <mergeCell ref="AI150:AJ150"/>
    <mergeCell ref="AI151:AJ151"/>
    <mergeCell ref="AI152:AJ152"/>
    <mergeCell ref="AI153:AJ153"/>
    <mergeCell ref="AI154:AJ154"/>
    <mergeCell ref="AI155:AJ155"/>
    <mergeCell ref="AI138:AJ138"/>
    <mergeCell ref="AI139:AJ139"/>
    <mergeCell ref="AI140:AJ140"/>
    <mergeCell ref="AI141:AJ141"/>
    <mergeCell ref="AI142:AJ142"/>
    <mergeCell ref="AI143:AJ143"/>
    <mergeCell ref="AI144:AJ144"/>
    <mergeCell ref="AI145:AJ145"/>
    <mergeCell ref="AI146:AJ146"/>
    <mergeCell ref="AI131:AJ131"/>
    <mergeCell ref="AM131:AO131"/>
    <mergeCell ref="AI132:AJ132"/>
    <mergeCell ref="AI133:AJ133"/>
    <mergeCell ref="AI134:AJ134"/>
    <mergeCell ref="AM134:AO134"/>
    <mergeCell ref="AI135:AJ135"/>
    <mergeCell ref="AI136:AJ136"/>
    <mergeCell ref="AI137:AJ137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T131:T177"/>
    <mergeCell ref="AI123:AJ123"/>
    <mergeCell ref="AI124:AJ124"/>
    <mergeCell ref="AI125:AJ125"/>
    <mergeCell ref="AI126:AJ126"/>
    <mergeCell ref="AI127:AJ127"/>
    <mergeCell ref="AI128:AJ128"/>
    <mergeCell ref="AI129:AJ129"/>
    <mergeCell ref="A130:R130"/>
    <mergeCell ref="AI130:AJ130"/>
    <mergeCell ref="T102:AJ102"/>
    <mergeCell ref="T103:T105"/>
    <mergeCell ref="AI103:AJ103"/>
    <mergeCell ref="AJ104:AJ105"/>
    <mergeCell ref="AM105:AO105"/>
    <mergeCell ref="T106:T130"/>
    <mergeCell ref="AI106:AJ106"/>
    <mergeCell ref="AI107:AJ107"/>
    <mergeCell ref="AM107:AO107"/>
    <mergeCell ref="AI108:AJ108"/>
    <mergeCell ref="AI109:AJ109"/>
    <mergeCell ref="AI110:AJ110"/>
    <mergeCell ref="AI111:AJ111"/>
    <mergeCell ref="AI112:AJ112"/>
    <mergeCell ref="AI113:AJ113"/>
    <mergeCell ref="AI114:AJ114"/>
    <mergeCell ref="AI115:AJ115"/>
    <mergeCell ref="AI116:AJ116"/>
    <mergeCell ref="AI117:AJ117"/>
    <mergeCell ref="AI118:AJ118"/>
    <mergeCell ref="AI119:AJ119"/>
    <mergeCell ref="AI120:AJ120"/>
    <mergeCell ref="AI121:AJ121"/>
    <mergeCell ref="AI122:AJ122"/>
    <mergeCell ref="A100:R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J76:J77"/>
    <mergeCell ref="K76:K77"/>
    <mergeCell ref="L76:L77"/>
    <mergeCell ref="A79:R79"/>
    <mergeCell ref="A80:B80"/>
    <mergeCell ref="C80:D80"/>
    <mergeCell ref="E80:F80"/>
    <mergeCell ref="G80:H80"/>
    <mergeCell ref="I80:J80"/>
    <mergeCell ref="K80:L80"/>
    <mergeCell ref="M80:N80"/>
    <mergeCell ref="O80:P80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A63:R63"/>
    <mergeCell ref="A64:B64"/>
    <mergeCell ref="C64:D64"/>
    <mergeCell ref="E64:F64"/>
    <mergeCell ref="G64:H64"/>
    <mergeCell ref="I64:J64"/>
    <mergeCell ref="K64:L64"/>
    <mergeCell ref="M64:N64"/>
    <mergeCell ref="O64:P64"/>
    <mergeCell ref="A46:R46"/>
    <mergeCell ref="A47:B47"/>
    <mergeCell ref="C47:D47"/>
    <mergeCell ref="E47:F47"/>
    <mergeCell ref="G47:H47"/>
    <mergeCell ref="I47:J47"/>
    <mergeCell ref="K47:L47"/>
    <mergeCell ref="M47:N47"/>
    <mergeCell ref="O47:P47"/>
    <mergeCell ref="A31:R31"/>
    <mergeCell ref="A32:B32"/>
    <mergeCell ref="C32:D32"/>
    <mergeCell ref="E32:F32"/>
    <mergeCell ref="G32:H32"/>
    <mergeCell ref="I32:J32"/>
    <mergeCell ref="K32:L32"/>
    <mergeCell ref="M32:N32"/>
    <mergeCell ref="O32:P32"/>
    <mergeCell ref="A16:R16"/>
    <mergeCell ref="A17:B17"/>
    <mergeCell ref="C17:D17"/>
    <mergeCell ref="E17:F17"/>
    <mergeCell ref="G17:H17"/>
    <mergeCell ref="I17:J17"/>
    <mergeCell ref="K17:L17"/>
    <mergeCell ref="M17:N17"/>
    <mergeCell ref="O17:P17"/>
    <mergeCell ref="A1:R1"/>
    <mergeCell ref="A2:B2"/>
    <mergeCell ref="C2:D2"/>
    <mergeCell ref="E2:F2"/>
    <mergeCell ref="G2:H2"/>
    <mergeCell ref="I2:J2"/>
    <mergeCell ref="K2:L2"/>
    <mergeCell ref="M2:N2"/>
    <mergeCell ref="O2:P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2201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Relatórios_CAT</vt:lpstr>
      <vt:lpstr>Planilha 2026</vt:lpstr>
      <vt:lpstr>'Planilha 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Jorao Da Costa Rodrigues</dc:creator>
  <dc:description/>
  <cp:lastModifiedBy>Mateus Souza Silva</cp:lastModifiedBy>
  <cp:revision>765</cp:revision>
  <cp:lastPrinted>2024-11-04T17:28:14Z</cp:lastPrinted>
  <dcterms:created xsi:type="dcterms:W3CDTF">2017-07-20T16:17:16Z</dcterms:created>
  <dcterms:modified xsi:type="dcterms:W3CDTF">2026-09-02T14:00:45Z</dcterms:modified>
  <dc:language>pt-BR</dc:language>
</cp:coreProperties>
</file>